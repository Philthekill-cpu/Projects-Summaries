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3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r_lee/Desktop/Y4 Group Project/"/>
    </mc:Choice>
  </mc:AlternateContent>
  <xr:revisionPtr revIDLastSave="0" documentId="13_ncr:1_{1236BD0E-CD77-8146-B6ED-F0945D3D0D52}" xr6:coauthVersionLast="45" xr6:coauthVersionMax="47" xr10:uidLastSave="{00000000-0000-0000-0000-000000000000}"/>
  <bookViews>
    <workbookView xWindow="0" yWindow="460" windowWidth="28800" windowHeight="16620" tabRatio="500" activeTab="3" xr2:uid="{00000000-000D-0000-FFFF-FFFF00000000}"/>
  </bookViews>
  <sheets>
    <sheet name="Pipe Sizing Calc" sheetId="10" r:id="rId1"/>
    <sheet name="Pump Sizing Calc" sheetId="12" r:id="rId2"/>
    <sheet name="MAIN ROUTE" sheetId="8" r:id="rId3"/>
    <sheet name="Carbon Footprint" sheetId="11" r:id="rId4"/>
    <sheet name="Reference" sheetId="6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M22" i="11" l="1"/>
  <c r="M23" i="11"/>
  <c r="M24" i="11"/>
  <c r="M25" i="11"/>
  <c r="M26" i="11"/>
  <c r="M27" i="11"/>
  <c r="M28" i="11"/>
  <c r="M29" i="11"/>
  <c r="M30" i="11"/>
  <c r="M31" i="11"/>
  <c r="M21" i="11"/>
  <c r="L21" i="11"/>
  <c r="N22" i="11" l="1"/>
  <c r="O22" i="11" s="1"/>
  <c r="P22" i="11" s="1"/>
  <c r="N23" i="11"/>
  <c r="O23" i="11" s="1"/>
  <c r="P23" i="11" s="1"/>
  <c r="N24" i="11"/>
  <c r="O24" i="11" s="1"/>
  <c r="P24" i="11" s="1"/>
  <c r="N25" i="11"/>
  <c r="O25" i="11" s="1"/>
  <c r="P25" i="11" s="1"/>
  <c r="N26" i="11"/>
  <c r="O26" i="11" s="1"/>
  <c r="P26" i="11" s="1"/>
  <c r="N27" i="11"/>
  <c r="O27" i="11" s="1"/>
  <c r="P27" i="11" s="1"/>
  <c r="N28" i="11"/>
  <c r="O28" i="11" s="1"/>
  <c r="P28" i="11" s="1"/>
  <c r="N29" i="11"/>
  <c r="O29" i="11" s="1"/>
  <c r="P29" i="11" s="1"/>
  <c r="N30" i="11"/>
  <c r="O30" i="11" s="1"/>
  <c r="P30" i="11" s="1"/>
  <c r="N31" i="11"/>
  <c r="O31" i="11" s="1"/>
  <c r="P31" i="11" s="1"/>
  <c r="N21" i="11"/>
  <c r="O21" i="11" s="1"/>
  <c r="P21" i="11" s="1"/>
  <c r="P7" i="11"/>
  <c r="K22" i="11"/>
  <c r="L22" i="11" s="1"/>
  <c r="K17" i="11"/>
  <c r="K31" i="11" s="1"/>
  <c r="L31" i="11" s="1"/>
  <c r="K16" i="11"/>
  <c r="L16" i="11" s="1"/>
  <c r="I30" i="11" s="1"/>
  <c r="J30" i="11" s="1"/>
  <c r="K30" i="11" s="1"/>
  <c r="L30" i="11" s="1"/>
  <c r="K15" i="11"/>
  <c r="K14" i="11"/>
  <c r="K13" i="11"/>
  <c r="K12" i="11"/>
  <c r="K11" i="11"/>
  <c r="L11" i="11" s="1"/>
  <c r="K10" i="11"/>
  <c r="L10" i="11" s="1"/>
  <c r="N10" i="11" s="1"/>
  <c r="K9" i="11"/>
  <c r="K23" i="11" s="1"/>
  <c r="L23" i="11" s="1"/>
  <c r="K8" i="11"/>
  <c r="K7" i="11"/>
  <c r="K21" i="11" s="1"/>
  <c r="M7" i="11"/>
  <c r="L7" i="11"/>
  <c r="I21" i="11" s="1"/>
  <c r="J21" i="11" s="1"/>
  <c r="M8" i="11"/>
  <c r="M9" i="11"/>
  <c r="M10" i="11"/>
  <c r="M11" i="11"/>
  <c r="M12" i="11"/>
  <c r="M13" i="11"/>
  <c r="M14" i="11"/>
  <c r="M15" i="11"/>
  <c r="M16" i="11"/>
  <c r="M17" i="11"/>
  <c r="L8" i="11"/>
  <c r="I22" i="11" s="1"/>
  <c r="J22" i="11" s="1"/>
  <c r="L9" i="11"/>
  <c r="I23" i="11" s="1"/>
  <c r="J23" i="11" s="1"/>
  <c r="L14" i="11"/>
  <c r="L15" i="11"/>
  <c r="N15" i="11" s="1"/>
  <c r="L17" i="11"/>
  <c r="I31" i="11" s="1"/>
  <c r="J31" i="11" s="1"/>
  <c r="J2" i="11"/>
  <c r="N9" i="11" l="1"/>
  <c r="O9" i="11" s="1"/>
  <c r="P9" i="11" s="1"/>
  <c r="L12" i="11"/>
  <c r="I26" i="11" s="1"/>
  <c r="J26" i="11" s="1"/>
  <c r="K26" i="11" s="1"/>
  <c r="L26" i="11" s="1"/>
  <c r="N14" i="11"/>
  <c r="O14" i="11" s="1"/>
  <c r="P14" i="11" s="1"/>
  <c r="L13" i="11"/>
  <c r="N13" i="11" s="1"/>
  <c r="O13" i="11" s="1"/>
  <c r="P13" i="11" s="1"/>
  <c r="N7" i="11"/>
  <c r="N16" i="11"/>
  <c r="O16" i="11" s="1"/>
  <c r="P16" i="11" s="1"/>
  <c r="N8" i="11"/>
  <c r="O8" i="11" s="1"/>
  <c r="P8" i="11" s="1"/>
  <c r="N11" i="11"/>
  <c r="N17" i="11"/>
  <c r="O17" i="11" s="1"/>
  <c r="P17" i="11" s="1"/>
  <c r="O15" i="11"/>
  <c r="P15" i="11" s="1"/>
  <c r="I24" i="11"/>
  <c r="J24" i="11" s="1"/>
  <c r="K24" i="11" s="1"/>
  <c r="L24" i="11" s="1"/>
  <c r="O10" i="11"/>
  <c r="P10" i="11" s="1"/>
  <c r="O11" i="11"/>
  <c r="P11" i="11" s="1"/>
  <c r="I25" i="11"/>
  <c r="J25" i="11" s="1"/>
  <c r="K25" i="11" s="1"/>
  <c r="L25" i="11" s="1"/>
  <c r="O7" i="11"/>
  <c r="I28" i="11"/>
  <c r="J28" i="11" s="1"/>
  <c r="K28" i="11" s="1"/>
  <c r="L28" i="11" s="1"/>
  <c r="I29" i="11"/>
  <c r="J29" i="11" s="1"/>
  <c r="K29" i="11" s="1"/>
  <c r="L29" i="11" s="1"/>
  <c r="K2" i="11"/>
  <c r="I2" i="11"/>
  <c r="D47" i="10"/>
  <c r="E48" i="10"/>
  <c r="N12" i="11" l="1"/>
  <c r="O12" i="11" s="1"/>
  <c r="P12" i="11" s="1"/>
  <c r="I27" i="11"/>
  <c r="J27" i="11" s="1"/>
  <c r="K27" i="11" s="1"/>
  <c r="L27" i="11" s="1"/>
  <c r="D48" i="10"/>
  <c r="C48" i="10"/>
  <c r="B147" i="12" l="1"/>
  <c r="B146" i="12"/>
  <c r="B145" i="12"/>
  <c r="B144" i="12"/>
  <c r="B143" i="12"/>
  <c r="B142" i="12"/>
  <c r="B141" i="12"/>
  <c r="B140" i="12"/>
  <c r="B139" i="12"/>
  <c r="B138" i="12"/>
  <c r="B137" i="12"/>
  <c r="B93" i="12"/>
  <c r="B92" i="12"/>
  <c r="B91" i="12"/>
  <c r="B90" i="12"/>
  <c r="B89" i="12"/>
  <c r="B88" i="12"/>
  <c r="B87" i="12"/>
  <c r="B86" i="12"/>
  <c r="B85" i="12"/>
  <c r="B84" i="12"/>
  <c r="B83" i="12"/>
  <c r="B29" i="12"/>
  <c r="B30" i="12"/>
  <c r="B31" i="12"/>
  <c r="B32" i="12"/>
  <c r="B33" i="12"/>
  <c r="B34" i="12"/>
  <c r="B35" i="12"/>
  <c r="B36" i="12"/>
  <c r="B37" i="12"/>
  <c r="B38" i="12"/>
  <c r="B28" i="12"/>
  <c r="B58" i="12" l="1"/>
  <c r="F62" i="12" s="1"/>
  <c r="B112" i="12"/>
  <c r="F116" i="12" s="1"/>
  <c r="F8" i="12"/>
  <c r="F9" i="12"/>
  <c r="F10" i="12"/>
  <c r="F11" i="12"/>
  <c r="F12" i="12"/>
  <c r="F13" i="12"/>
  <c r="F14" i="12"/>
  <c r="F15" i="12"/>
  <c r="F16" i="12"/>
  <c r="F17" i="12"/>
  <c r="F18" i="12"/>
  <c r="F19" i="12"/>
  <c r="F20" i="12"/>
  <c r="F21" i="12"/>
  <c r="F22" i="12"/>
  <c r="F23" i="12"/>
  <c r="F7" i="12"/>
  <c r="E62" i="12"/>
  <c r="F70" i="12" l="1"/>
  <c r="F68" i="12"/>
  <c r="F75" i="12"/>
  <c r="F67" i="12"/>
  <c r="F71" i="12"/>
  <c r="F77" i="12"/>
  <c r="F76" i="12"/>
  <c r="F74" i="12"/>
  <c r="F66" i="12"/>
  <c r="F72" i="12"/>
  <c r="F61" i="12"/>
  <c r="F69" i="12"/>
  <c r="F73" i="12"/>
  <c r="F65" i="12"/>
  <c r="F64" i="12"/>
  <c r="F63" i="12"/>
  <c r="F131" i="12"/>
  <c r="F115" i="12"/>
  <c r="F124" i="12"/>
  <c r="F123" i="12"/>
  <c r="F129" i="12"/>
  <c r="F122" i="12"/>
  <c r="F130" i="12"/>
  <c r="F121" i="12"/>
  <c r="F128" i="12"/>
  <c r="F120" i="12"/>
  <c r="F127" i="12"/>
  <c r="F119" i="12"/>
  <c r="F126" i="12"/>
  <c r="F118" i="12"/>
  <c r="F125" i="12"/>
  <c r="F117" i="12"/>
  <c r="I274" i="8"/>
  <c r="H248" i="8"/>
  <c r="H247" i="8"/>
  <c r="E117" i="12" l="1"/>
  <c r="B131" i="12"/>
  <c r="E131" i="12" s="1"/>
  <c r="E130" i="12"/>
  <c r="B130" i="12"/>
  <c r="C130" i="12" s="1"/>
  <c r="D130" i="12" s="1"/>
  <c r="C129" i="12"/>
  <c r="D129" i="12" s="1"/>
  <c r="B129" i="12"/>
  <c r="E129" i="12" s="1"/>
  <c r="C128" i="12"/>
  <c r="D128" i="12" s="1"/>
  <c r="B128" i="12"/>
  <c r="E128" i="12" s="1"/>
  <c r="E127" i="12"/>
  <c r="C127" i="12"/>
  <c r="D127" i="12" s="1"/>
  <c r="B127" i="12"/>
  <c r="B126" i="12"/>
  <c r="E126" i="12" s="1"/>
  <c r="E125" i="12"/>
  <c r="B125" i="12"/>
  <c r="C125" i="12" s="1"/>
  <c r="D125" i="12" s="1"/>
  <c r="B124" i="12"/>
  <c r="E124" i="12" s="1"/>
  <c r="C123" i="12"/>
  <c r="D123" i="12" s="1"/>
  <c r="B123" i="12"/>
  <c r="E123" i="12" s="1"/>
  <c r="E122" i="12"/>
  <c r="D122" i="12"/>
  <c r="C122" i="12"/>
  <c r="B122" i="12"/>
  <c r="C121" i="12"/>
  <c r="D121" i="12" s="1"/>
  <c r="B121" i="12"/>
  <c r="E121" i="12" s="1"/>
  <c r="B120" i="12"/>
  <c r="E120" i="12" s="1"/>
  <c r="E119" i="12"/>
  <c r="C119" i="12"/>
  <c r="D119" i="12" s="1"/>
  <c r="B119" i="12"/>
  <c r="B118" i="12"/>
  <c r="E118" i="12" s="1"/>
  <c r="B117" i="12"/>
  <c r="C117" i="12" s="1"/>
  <c r="D117" i="12" s="1"/>
  <c r="B116" i="12"/>
  <c r="E116" i="12" s="1"/>
  <c r="B74" i="12"/>
  <c r="C74" i="12" s="1"/>
  <c r="D74" i="12" s="1"/>
  <c r="B73" i="12"/>
  <c r="C73" i="12" s="1"/>
  <c r="D73" i="12" s="1"/>
  <c r="B72" i="12"/>
  <c r="C72" i="12" s="1"/>
  <c r="D72" i="12" s="1"/>
  <c r="B66" i="12"/>
  <c r="C66" i="12" s="1"/>
  <c r="D66" i="12" s="1"/>
  <c r="B65" i="12"/>
  <c r="C65" i="12" s="1"/>
  <c r="D65" i="12" s="1"/>
  <c r="B64" i="12"/>
  <c r="C64" i="12" s="1"/>
  <c r="D64" i="12" s="1"/>
  <c r="G201" i="8"/>
  <c r="G8" i="12"/>
  <c r="G9" i="12"/>
  <c r="G10" i="12"/>
  <c r="G11" i="12"/>
  <c r="G12" i="12"/>
  <c r="G13" i="12"/>
  <c r="G14" i="12"/>
  <c r="G15" i="12"/>
  <c r="G16" i="12"/>
  <c r="G17" i="12"/>
  <c r="G18" i="12"/>
  <c r="G19" i="12"/>
  <c r="G20" i="12"/>
  <c r="G21" i="12"/>
  <c r="G22" i="12"/>
  <c r="G23" i="12"/>
  <c r="G7" i="12"/>
  <c r="D3" i="12"/>
  <c r="G3" i="12"/>
  <c r="B10" i="12"/>
  <c r="C10" i="12" s="1"/>
  <c r="D10" i="12" s="1"/>
  <c r="B11" i="12"/>
  <c r="C11" i="12" s="1"/>
  <c r="D11" i="12" s="1"/>
  <c r="B12" i="12"/>
  <c r="C12" i="12" s="1"/>
  <c r="D12" i="12" s="1"/>
  <c r="B19" i="12"/>
  <c r="C19" i="12" s="1"/>
  <c r="D19" i="12" s="1"/>
  <c r="B20" i="12"/>
  <c r="C20" i="12" s="1"/>
  <c r="D20" i="12" s="1"/>
  <c r="B21" i="12"/>
  <c r="C21" i="12" s="1"/>
  <c r="D21" i="12" s="1"/>
  <c r="B22" i="12"/>
  <c r="C22" i="12" s="1"/>
  <c r="D22" i="12" s="1"/>
  <c r="C3" i="12"/>
  <c r="B16" i="12" s="1"/>
  <c r="C16" i="12" s="1"/>
  <c r="D16" i="12" s="1"/>
  <c r="C116" i="12" l="1"/>
  <c r="D116" i="12" s="1"/>
  <c r="C124" i="12"/>
  <c r="D124" i="12" s="1"/>
  <c r="C118" i="12"/>
  <c r="D118" i="12" s="1"/>
  <c r="C126" i="12"/>
  <c r="D126" i="12" s="1"/>
  <c r="C131" i="12"/>
  <c r="D131" i="12" s="1"/>
  <c r="C120" i="12"/>
  <c r="D120" i="12" s="1"/>
  <c r="B75" i="12"/>
  <c r="C75" i="12" s="1"/>
  <c r="D75" i="12" s="1"/>
  <c r="B68" i="12"/>
  <c r="C68" i="12" s="1"/>
  <c r="D68" i="12" s="1"/>
  <c r="B76" i="12"/>
  <c r="C76" i="12" s="1"/>
  <c r="D76" i="12" s="1"/>
  <c r="B18" i="12"/>
  <c r="C18" i="12" s="1"/>
  <c r="D18" i="12" s="1"/>
  <c r="B15" i="12"/>
  <c r="C15" i="12" s="1"/>
  <c r="D15" i="12" s="1"/>
  <c r="B69" i="12"/>
  <c r="C69" i="12" s="1"/>
  <c r="D69" i="12" s="1"/>
  <c r="B77" i="12"/>
  <c r="C77" i="12" s="1"/>
  <c r="D77" i="12" s="1"/>
  <c r="B67" i="12"/>
  <c r="C67" i="12" s="1"/>
  <c r="D67" i="12" s="1"/>
  <c r="B14" i="12"/>
  <c r="C14" i="12" s="1"/>
  <c r="D14" i="12" s="1"/>
  <c r="B62" i="12"/>
  <c r="C62" i="12" s="1"/>
  <c r="D62" i="12" s="1"/>
  <c r="B70" i="12"/>
  <c r="C70" i="12" s="1"/>
  <c r="D70" i="12" s="1"/>
  <c r="B23" i="12"/>
  <c r="C23" i="12" s="1"/>
  <c r="D23" i="12" s="1"/>
  <c r="B13" i="12"/>
  <c r="C13" i="12" s="1"/>
  <c r="D13" i="12" s="1"/>
  <c r="B63" i="12"/>
  <c r="C63" i="12" s="1"/>
  <c r="D63" i="12" s="1"/>
  <c r="B71" i="12"/>
  <c r="C71" i="12" s="1"/>
  <c r="D71" i="12" s="1"/>
  <c r="B17" i="12"/>
  <c r="C17" i="12" s="1"/>
  <c r="D17" i="12" s="1"/>
  <c r="B9" i="12"/>
  <c r="C9" i="12" s="1"/>
  <c r="D9" i="12" s="1"/>
  <c r="B8" i="12"/>
  <c r="C8" i="12" s="1"/>
  <c r="D8" i="12" s="1"/>
  <c r="A7" i="11"/>
  <c r="A3" i="11"/>
  <c r="H87" i="8"/>
  <c r="E68" i="12" l="1"/>
  <c r="E76" i="12"/>
  <c r="E69" i="12"/>
  <c r="E77" i="12"/>
  <c r="E73" i="12"/>
  <c r="E67" i="12"/>
  <c r="E70" i="12"/>
  <c r="E66" i="12"/>
  <c r="E74" i="12"/>
  <c r="E75" i="12"/>
  <c r="E63" i="12"/>
  <c r="E71" i="12"/>
  <c r="E72" i="12"/>
  <c r="E64" i="12"/>
  <c r="E65" i="12"/>
  <c r="E10" i="12"/>
  <c r="E18" i="12"/>
  <c r="E19" i="12"/>
  <c r="E11" i="12"/>
  <c r="E22" i="12"/>
  <c r="E23" i="12"/>
  <c r="E16" i="12"/>
  <c r="E9" i="12"/>
  <c r="E12" i="12"/>
  <c r="E20" i="12"/>
  <c r="E8" i="12"/>
  <c r="E15" i="12"/>
  <c r="E13" i="12"/>
  <c r="E21" i="12"/>
  <c r="E14" i="12"/>
  <c r="E17" i="12"/>
  <c r="B201" i="8"/>
  <c r="C87" i="8"/>
  <c r="D58" i="10"/>
  <c r="D57" i="10"/>
  <c r="B30" i="10"/>
  <c r="B31" i="10"/>
  <c r="D31" i="10"/>
  <c r="D30" i="10"/>
  <c r="B52" i="10"/>
  <c r="B53" i="10"/>
  <c r="C26" i="10"/>
  <c r="C25" i="10"/>
  <c r="B26" i="10"/>
  <c r="B25" i="10"/>
  <c r="C40" i="10"/>
  <c r="D40" i="10" s="1"/>
  <c r="E40" i="10" s="1"/>
  <c r="C41" i="10"/>
  <c r="D41" i="10" s="1"/>
  <c r="E41" i="10" s="1"/>
  <c r="C42" i="10"/>
  <c r="D42" i="10" s="1"/>
  <c r="E42" i="10" s="1"/>
  <c r="C43" i="10"/>
  <c r="D43" i="10" s="1"/>
  <c r="E43" i="10" s="1"/>
  <c r="C44" i="10"/>
  <c r="D44" i="10" s="1"/>
  <c r="E44" i="10" s="1"/>
  <c r="C45" i="10"/>
  <c r="D45" i="10" s="1"/>
  <c r="E45" i="10" s="1"/>
  <c r="C46" i="10"/>
  <c r="D46" i="10" s="1"/>
  <c r="E46" i="10" s="1"/>
  <c r="C47" i="10"/>
  <c r="E47" i="10" s="1"/>
  <c r="C49" i="10"/>
  <c r="D49" i="10" s="1"/>
  <c r="E49" i="10" s="1"/>
  <c r="C39" i="10"/>
  <c r="D39" i="10" s="1"/>
  <c r="E39" i="10" s="1"/>
  <c r="E10" i="10"/>
  <c r="E11" i="10"/>
  <c r="E12" i="10"/>
  <c r="E13" i="10"/>
  <c r="E14" i="10"/>
  <c r="E15" i="10"/>
  <c r="E16" i="10"/>
  <c r="E17" i="10"/>
  <c r="E18" i="10"/>
  <c r="E19" i="10"/>
  <c r="E20" i="10"/>
  <c r="E21" i="10"/>
  <c r="E22" i="10"/>
  <c r="E9" i="10"/>
  <c r="D10" i="10"/>
  <c r="D11" i="10"/>
  <c r="D12" i="10"/>
  <c r="D13" i="10"/>
  <c r="D14" i="10"/>
  <c r="D15" i="10"/>
  <c r="D16" i="10"/>
  <c r="D17" i="10"/>
  <c r="D18" i="10"/>
  <c r="D19" i="10"/>
  <c r="D20" i="10"/>
  <c r="D21" i="10"/>
  <c r="D22" i="10"/>
  <c r="D9" i="10"/>
  <c r="C10" i="10"/>
  <c r="C11" i="10"/>
  <c r="C12" i="10"/>
  <c r="C13" i="10"/>
  <c r="C14" i="10"/>
  <c r="C15" i="10"/>
  <c r="C16" i="10"/>
  <c r="C17" i="10"/>
  <c r="C18" i="10"/>
  <c r="C19" i="10"/>
  <c r="C20" i="10"/>
  <c r="C21" i="10"/>
  <c r="C22" i="10"/>
  <c r="C9" i="10"/>
  <c r="G88" i="8"/>
  <c r="G89" i="8"/>
  <c r="G90" i="8"/>
  <c r="G91" i="8"/>
  <c r="G92" i="8"/>
  <c r="G93" i="8"/>
  <c r="G94" i="8"/>
  <c r="G95" i="8"/>
  <c r="G96" i="8"/>
  <c r="G97" i="8"/>
  <c r="G98" i="8"/>
  <c r="G99" i="8"/>
  <c r="G100" i="8"/>
  <c r="G101" i="8"/>
  <c r="G102" i="8"/>
  <c r="G103" i="8"/>
  <c r="G104" i="8"/>
  <c r="G105" i="8"/>
  <c r="G106" i="8"/>
  <c r="G107" i="8"/>
  <c r="G108" i="8"/>
  <c r="G109" i="8"/>
  <c r="G110" i="8"/>
  <c r="G111" i="8"/>
  <c r="G112" i="8"/>
  <c r="G113" i="8"/>
  <c r="G114" i="8"/>
  <c r="G115" i="8"/>
  <c r="G116" i="8"/>
  <c r="G117" i="8"/>
  <c r="G118" i="8"/>
  <c r="G119" i="8"/>
  <c r="G120" i="8"/>
  <c r="G121" i="8"/>
  <c r="G122" i="8"/>
  <c r="G123" i="8"/>
  <c r="G124" i="8"/>
  <c r="G125" i="8"/>
  <c r="G126" i="8"/>
  <c r="G127" i="8"/>
  <c r="G128" i="8"/>
  <c r="G129" i="8"/>
  <c r="G130" i="8"/>
  <c r="G131" i="8"/>
  <c r="G132" i="8"/>
  <c r="G133" i="8"/>
  <c r="G134" i="8"/>
  <c r="G135" i="8"/>
  <c r="G136" i="8"/>
  <c r="G137" i="8"/>
  <c r="G138" i="8"/>
  <c r="G139" i="8"/>
  <c r="G140" i="8"/>
  <c r="G141" i="8"/>
  <c r="G142" i="8"/>
  <c r="G143" i="8"/>
  <c r="G144" i="8"/>
  <c r="G145" i="8"/>
  <c r="G146" i="8"/>
  <c r="G147" i="8"/>
  <c r="G148" i="8"/>
  <c r="G149" i="8"/>
  <c r="G150" i="8"/>
  <c r="G151" i="8"/>
  <c r="G152" i="8"/>
  <c r="G153" i="8"/>
  <c r="G154" i="8"/>
  <c r="G155" i="8"/>
  <c r="G156" i="8"/>
  <c r="G157" i="8"/>
  <c r="G158" i="8"/>
  <c r="G159" i="8"/>
  <c r="G160" i="8"/>
  <c r="G161" i="8"/>
  <c r="G162" i="8"/>
  <c r="G163" i="8"/>
  <c r="G164" i="8"/>
  <c r="G165" i="8"/>
  <c r="G87" i="8"/>
  <c r="B165" i="8"/>
  <c r="B156" i="8"/>
  <c r="B157" i="8"/>
  <c r="B158" i="8"/>
  <c r="B159" i="8"/>
  <c r="B160" i="8"/>
  <c r="B161" i="8"/>
  <c r="B162" i="8"/>
  <c r="B163" i="8"/>
  <c r="B164" i="8"/>
  <c r="B149" i="8"/>
  <c r="B153" i="8"/>
  <c r="B154" i="8"/>
  <c r="B155" i="8"/>
  <c r="B147" i="8"/>
  <c r="B148" i="8"/>
  <c r="B150" i="8"/>
  <c r="B151" i="8"/>
  <c r="B152" i="8"/>
  <c r="B139" i="8"/>
  <c r="B140" i="8"/>
  <c r="B141" i="8"/>
  <c r="B142" i="8"/>
  <c r="B143" i="8"/>
  <c r="B144" i="8"/>
  <c r="B145" i="8"/>
  <c r="B146" i="8"/>
  <c r="B138" i="8"/>
  <c r="B127" i="8"/>
  <c r="B128" i="8"/>
  <c r="B129" i="8"/>
  <c r="B130" i="8"/>
  <c r="B131" i="8"/>
  <c r="B132" i="8"/>
  <c r="B133" i="8"/>
  <c r="B134" i="8"/>
  <c r="B135" i="8"/>
  <c r="B136" i="8"/>
  <c r="B137" i="8"/>
  <c r="B117" i="8"/>
  <c r="B118" i="8"/>
  <c r="B119" i="8"/>
  <c r="B120" i="8"/>
  <c r="B121" i="8"/>
  <c r="B122" i="8"/>
  <c r="B123" i="8"/>
  <c r="B124" i="8"/>
  <c r="B125" i="8"/>
  <c r="B126" i="8"/>
  <c r="B106" i="8"/>
  <c r="B107" i="8"/>
  <c r="B108" i="8"/>
  <c r="B109" i="8"/>
  <c r="B110" i="8"/>
  <c r="B111" i="8"/>
  <c r="B112" i="8"/>
  <c r="B113" i="8"/>
  <c r="B114" i="8"/>
  <c r="B115" i="8"/>
  <c r="B116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87" i="8"/>
  <c r="C52" i="10" l="1"/>
  <c r="B57" i="10" s="1"/>
  <c r="C53" i="10"/>
  <c r="B58" i="10" s="1"/>
  <c r="F3" i="8"/>
  <c r="F4" i="8" l="1"/>
  <c r="G202" i="8"/>
  <c r="B202" i="8"/>
  <c r="H88" i="8"/>
  <c r="C88" i="8"/>
  <c r="F5" i="8" l="1"/>
  <c r="H89" i="8"/>
  <c r="G203" i="8"/>
  <c r="B203" i="8"/>
  <c r="C89" i="8"/>
  <c r="F6" i="8" l="1"/>
  <c r="H90" i="8"/>
  <c r="G204" i="8"/>
  <c r="B204" i="8"/>
  <c r="C90" i="8"/>
  <c r="F7" i="8" l="1"/>
  <c r="H91" i="8"/>
  <c r="G205" i="8"/>
  <c r="B205" i="8"/>
  <c r="C91" i="8"/>
  <c r="F8" i="8" l="1"/>
  <c r="H92" i="8"/>
  <c r="G206" i="8"/>
  <c r="B206" i="8"/>
  <c r="C92" i="8"/>
  <c r="F9" i="8" l="1"/>
  <c r="H93" i="8"/>
  <c r="G207" i="8"/>
  <c r="B207" i="8"/>
  <c r="C93" i="8"/>
  <c r="F10" i="8" l="1"/>
  <c r="H94" i="8"/>
  <c r="G208" i="8"/>
  <c r="B208" i="8"/>
  <c r="C94" i="8"/>
  <c r="F11" i="8" l="1"/>
  <c r="H95" i="8"/>
  <c r="G209" i="8"/>
  <c r="B209" i="8"/>
  <c r="C95" i="8"/>
  <c r="F12" i="8" l="1"/>
  <c r="H96" i="8"/>
  <c r="G210" i="8"/>
  <c r="B210" i="8"/>
  <c r="C96" i="8"/>
  <c r="F13" i="8" l="1"/>
  <c r="H97" i="8"/>
  <c r="G211" i="8"/>
  <c r="B211" i="8"/>
  <c r="C97" i="8"/>
  <c r="F14" i="8" l="1"/>
  <c r="H98" i="8"/>
  <c r="G212" i="8"/>
  <c r="B212" i="8"/>
  <c r="C98" i="8"/>
  <c r="F15" i="8" l="1"/>
  <c r="H99" i="8"/>
  <c r="G213" i="8"/>
  <c r="B213" i="8"/>
  <c r="C99" i="8"/>
  <c r="F16" i="8" l="1"/>
  <c r="H100" i="8"/>
  <c r="G214" i="8"/>
  <c r="B214" i="8"/>
  <c r="C100" i="8"/>
  <c r="F17" i="8" l="1"/>
  <c r="H101" i="8"/>
  <c r="G215" i="8"/>
  <c r="B215" i="8"/>
  <c r="C101" i="8"/>
  <c r="F18" i="8" l="1"/>
  <c r="H102" i="8"/>
  <c r="G216" i="8"/>
  <c r="B216" i="8"/>
  <c r="C102" i="8"/>
  <c r="F19" i="8" l="1"/>
  <c r="H103" i="8"/>
  <c r="G217" i="8"/>
  <c r="B217" i="8"/>
  <c r="C103" i="8"/>
  <c r="F20" i="8" l="1"/>
  <c r="H104" i="8"/>
  <c r="G218" i="8"/>
  <c r="B218" i="8"/>
  <c r="C104" i="8"/>
  <c r="F21" i="8" l="1"/>
  <c r="H105" i="8"/>
  <c r="G219" i="8"/>
  <c r="B219" i="8"/>
  <c r="C105" i="8"/>
  <c r="F22" i="8" l="1"/>
  <c r="H106" i="8"/>
  <c r="G220" i="8"/>
  <c r="B220" i="8"/>
  <c r="C106" i="8"/>
  <c r="F23" i="8" l="1"/>
  <c r="H107" i="8"/>
  <c r="G221" i="8"/>
  <c r="B221" i="8"/>
  <c r="C107" i="8"/>
  <c r="F24" i="8" l="1"/>
  <c r="H108" i="8"/>
  <c r="G222" i="8"/>
  <c r="B222" i="8"/>
  <c r="C108" i="8"/>
  <c r="F25" i="8" l="1"/>
  <c r="H109" i="8"/>
  <c r="G223" i="8"/>
  <c r="B223" i="8"/>
  <c r="C109" i="8"/>
  <c r="F26" i="8" l="1"/>
  <c r="H110" i="8"/>
  <c r="G224" i="8"/>
  <c r="B224" i="8"/>
  <c r="C110" i="8"/>
  <c r="F27" i="8" l="1"/>
  <c r="H111" i="8"/>
  <c r="G225" i="8"/>
  <c r="B225" i="8"/>
  <c r="C111" i="8"/>
  <c r="F28" i="8" l="1"/>
  <c r="H112" i="8"/>
  <c r="G226" i="8"/>
  <c r="B226" i="8"/>
  <c r="C112" i="8"/>
  <c r="F29" i="8" l="1"/>
  <c r="H113" i="8"/>
  <c r="G227" i="8"/>
  <c r="B227" i="8"/>
  <c r="C113" i="8"/>
  <c r="F30" i="8" l="1"/>
  <c r="H114" i="8"/>
  <c r="G228" i="8"/>
  <c r="B228" i="8"/>
  <c r="C114" i="8"/>
  <c r="F31" i="8" l="1"/>
  <c r="H115" i="8"/>
  <c r="G229" i="8"/>
  <c r="B229" i="8"/>
  <c r="C115" i="8"/>
  <c r="F32" i="8" l="1"/>
  <c r="H116" i="8"/>
  <c r="G230" i="8"/>
  <c r="B230" i="8"/>
  <c r="C116" i="8"/>
  <c r="F33" i="8" l="1"/>
  <c r="H117" i="8"/>
  <c r="G231" i="8"/>
  <c r="B231" i="8"/>
  <c r="C117" i="8"/>
  <c r="F34" i="8" l="1"/>
  <c r="H118" i="8"/>
  <c r="G232" i="8"/>
  <c r="B232" i="8"/>
  <c r="C118" i="8"/>
  <c r="F35" i="8" l="1"/>
  <c r="H119" i="8"/>
  <c r="G233" i="8"/>
  <c r="B233" i="8"/>
  <c r="C119" i="8"/>
  <c r="F36" i="8" l="1"/>
  <c r="H120" i="8"/>
  <c r="G234" i="8"/>
  <c r="B234" i="8"/>
  <c r="C120" i="8"/>
  <c r="F37" i="8" l="1"/>
  <c r="H121" i="8"/>
  <c r="G235" i="8"/>
  <c r="B235" i="8"/>
  <c r="C121" i="8"/>
  <c r="F38" i="8" l="1"/>
  <c r="H122" i="8"/>
  <c r="G236" i="8"/>
  <c r="B236" i="8"/>
  <c r="C122" i="8"/>
  <c r="F39" i="8" l="1"/>
  <c r="H123" i="8"/>
  <c r="G237" i="8"/>
  <c r="B237" i="8"/>
  <c r="C123" i="8"/>
  <c r="F40" i="8" l="1"/>
  <c r="H124" i="8"/>
  <c r="G238" i="8"/>
  <c r="B238" i="8"/>
  <c r="C124" i="8"/>
  <c r="F41" i="8" l="1"/>
  <c r="H125" i="8"/>
  <c r="G239" i="8"/>
  <c r="B239" i="8"/>
  <c r="C125" i="8"/>
  <c r="F42" i="8" l="1"/>
  <c r="H126" i="8"/>
  <c r="G240" i="8"/>
  <c r="B240" i="8"/>
  <c r="C126" i="8"/>
  <c r="F43" i="8" l="1"/>
  <c r="H127" i="8"/>
  <c r="G241" i="8"/>
  <c r="B241" i="8"/>
  <c r="C127" i="8"/>
  <c r="F44" i="8" l="1"/>
  <c r="H128" i="8"/>
  <c r="G242" i="8"/>
  <c r="B242" i="8"/>
  <c r="C242" i="8" s="1"/>
  <c r="C128" i="8"/>
  <c r="I278" i="8" l="1"/>
  <c r="I277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H249" i="8"/>
  <c r="H250" i="8"/>
  <c r="H251" i="8"/>
  <c r="H252" i="8"/>
  <c r="H253" i="8"/>
  <c r="H254" i="8"/>
  <c r="H255" i="8"/>
  <c r="H256" i="8"/>
  <c r="H257" i="8"/>
  <c r="H258" i="8"/>
  <c r="H259" i="8"/>
  <c r="H260" i="8"/>
  <c r="H261" i="8"/>
  <c r="H262" i="8"/>
  <c r="H263" i="8"/>
  <c r="H264" i="8"/>
  <c r="H265" i="8"/>
  <c r="H266" i="8"/>
  <c r="H267" i="8"/>
  <c r="H268" i="8"/>
  <c r="H269" i="8"/>
  <c r="H270" i="8"/>
  <c r="H271" i="8"/>
  <c r="H272" i="8"/>
  <c r="H273" i="8"/>
  <c r="F45" i="8"/>
  <c r="G243" i="8"/>
  <c r="H129" i="8"/>
  <c r="C129" i="8"/>
  <c r="D129" i="8" s="1"/>
  <c r="D130" i="8" l="1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E159" i="8" s="1"/>
  <c r="F46" i="8"/>
  <c r="G244" i="8"/>
  <c r="H130" i="8"/>
  <c r="I275" i="8"/>
  <c r="I276" i="8"/>
  <c r="F47" i="8" l="1"/>
  <c r="G245" i="8"/>
  <c r="H131" i="8"/>
  <c r="E160" i="8"/>
  <c r="E161" i="8"/>
  <c r="E162" i="8"/>
  <c r="E163" i="8"/>
  <c r="E164" i="8"/>
  <c r="E165" i="8"/>
  <c r="F48" i="8" l="1"/>
  <c r="G246" i="8"/>
  <c r="H132" i="8"/>
  <c r="F49" i="8" l="1"/>
  <c r="G247" i="8"/>
  <c r="H133" i="8"/>
  <c r="F50" i="8" l="1"/>
  <c r="F51" i="8" s="1"/>
  <c r="F52" i="8" s="1"/>
  <c r="F53" i="8" s="1"/>
  <c r="F54" i="8" s="1"/>
  <c r="F55" i="8" s="1"/>
  <c r="F56" i="8" s="1"/>
  <c r="F57" i="8" s="1"/>
  <c r="F58" i="8" s="1"/>
  <c r="F59" i="8" s="1"/>
  <c r="F60" i="8" s="1"/>
  <c r="F61" i="8" s="1"/>
  <c r="F62" i="8" s="1"/>
  <c r="F63" i="8" s="1"/>
  <c r="F64" i="8" s="1"/>
  <c r="F65" i="8" s="1"/>
  <c r="F66" i="8" s="1"/>
  <c r="F67" i="8" s="1"/>
  <c r="F68" i="8" s="1"/>
  <c r="F69" i="8" s="1"/>
  <c r="F70" i="8" s="1"/>
  <c r="F71" i="8" s="1"/>
  <c r="F72" i="8" s="1"/>
  <c r="F73" i="8" s="1"/>
  <c r="F74" i="8" s="1"/>
  <c r="F75" i="8" s="1"/>
  <c r="F76" i="8" s="1"/>
  <c r="F77" i="8" s="1"/>
  <c r="F78" i="8" s="1"/>
  <c r="F79" i="8" s="1"/>
  <c r="F80" i="8" s="1"/>
  <c r="H134" i="8"/>
  <c r="I134" i="8" s="1"/>
  <c r="I135" i="8" l="1"/>
  <c r="I136" i="8"/>
  <c r="I137" i="8"/>
  <c r="I138" i="8"/>
  <c r="I139" i="8"/>
  <c r="I140" i="8"/>
  <c r="I141" i="8"/>
  <c r="I142" i="8"/>
  <c r="I143" i="8"/>
  <c r="I144" i="8"/>
  <c r="I145" i="8"/>
  <c r="I146" i="8"/>
  <c r="I147" i="8"/>
  <c r="I148" i="8"/>
  <c r="I149" i="8"/>
  <c r="I150" i="8"/>
  <c r="I151" i="8"/>
  <c r="I152" i="8"/>
  <c r="I153" i="8"/>
  <c r="I154" i="8"/>
  <c r="I155" i="8"/>
  <c r="I156" i="8"/>
  <c r="I157" i="8"/>
  <c r="I158" i="8"/>
  <c r="I159" i="8"/>
  <c r="I160" i="8"/>
  <c r="I161" i="8"/>
  <c r="I162" i="8"/>
  <c r="I163" i="8"/>
  <c r="I164" i="8"/>
  <c r="J164" i="8" s="1"/>
  <c r="J165" i="8" s="1"/>
</calcChain>
</file>

<file path=xl/sharedStrings.xml><?xml version="1.0" encoding="utf-8"?>
<sst xmlns="http://schemas.openxmlformats.org/spreadsheetml/2006/main" count="227" uniqueCount="149">
  <si>
    <t>Density(Kg/m^3)</t>
  </si>
  <si>
    <t>Dynamic Viscosity (Kg/(m*s))</t>
  </si>
  <si>
    <t>Discharge Q (m^3/s)</t>
  </si>
  <si>
    <t>Optimised Velocity m/s</t>
  </si>
  <si>
    <t>PE100 Pipe roughness Ks (mm)</t>
  </si>
  <si>
    <t xml:space="preserve">Link to find the colebook white friction factor </t>
  </si>
  <si>
    <t>https://www.pe100plus.com/PE-Pipes/Technical-guidance/Trenchless/Methods/PE-Pipe-i1341.html</t>
  </si>
  <si>
    <t>Link for Maximum Velocity in pipes</t>
  </si>
  <si>
    <t>https://www.engineeringtoolbox.com/flow-velocity-water-pipes-d_385.html</t>
  </si>
  <si>
    <t>PE100 (PN10)</t>
  </si>
  <si>
    <t>Available Diamter PE100</t>
  </si>
  <si>
    <t>Available Diameter Pipe (mm)</t>
  </si>
  <si>
    <t>Thickness of pipe</t>
  </si>
  <si>
    <t>Inner Diameter of Pipe (mm)</t>
  </si>
  <si>
    <t>Effective surface area (m^2)</t>
  </si>
  <si>
    <t>Water velocity (m/s)</t>
  </si>
  <si>
    <t>https://www.radius-systems.com/storage/app/media/Downloads/Polyethylene%20pipes%20for%20all%20applications.pdf</t>
  </si>
  <si>
    <t>PE100 Pipe : UK Manufacture</t>
  </si>
  <si>
    <t>http://www.welbrit.co.uk/polyethylene.php</t>
  </si>
  <si>
    <t>PE100 internal rougness (mm)</t>
  </si>
  <si>
    <t>https://www.pipeflow.com/pipe-pressure-drop-calculations/pipe-roughness</t>
  </si>
  <si>
    <t>Reynold's number</t>
  </si>
  <si>
    <t>Moody friction factor</t>
  </si>
  <si>
    <t>Barr friction factor</t>
  </si>
  <si>
    <t>Moody</t>
  </si>
  <si>
    <t>Barr</t>
  </si>
  <si>
    <t>Gradient i_moody</t>
  </si>
  <si>
    <t>Gradient i_barr</t>
  </si>
  <si>
    <t>PE100 (PN16)</t>
  </si>
  <si>
    <t xml:space="preserve">PE PN16 630mm </t>
  </si>
  <si>
    <t>PUMP 1</t>
  </si>
  <si>
    <t>Inner Diameter (mm)</t>
  </si>
  <si>
    <t>Area (m^2)</t>
  </si>
  <si>
    <t>Length L (m)</t>
  </si>
  <si>
    <t>Theoretical Duty Point Flowrate Q (L/s)</t>
  </si>
  <si>
    <t>Pump Search Tool</t>
  </si>
  <si>
    <t>https://www.xylect.com/bin/Xylect.dll?IS__NEXTPAGE=startup&amp;IS__NEXTPAGE=BDYHOME&amp;IS__AREA=GREAT%20BRITAIN&amp;IS__COUNTRY=UNITED%20KINGDOM&amp;IS__BROWSER=%23%23%231584%23821</t>
  </si>
  <si>
    <t>Flowrate Q (L/s)</t>
  </si>
  <si>
    <t>Water velocity u (m/s)</t>
  </si>
  <si>
    <t xml:space="preserve">Reynold's Number </t>
  </si>
  <si>
    <t>Friction factro (Barr)</t>
  </si>
  <si>
    <t>I Gradient</t>
  </si>
  <si>
    <t>Head (m)</t>
  </si>
  <si>
    <t>Duty Point Flowrate (L/s)</t>
  </si>
  <si>
    <t>10% larger than the duty point flowrate</t>
  </si>
  <si>
    <t>1st pump station valves:</t>
  </si>
  <si>
    <t xml:space="preserve">non return valve, </t>
  </si>
  <si>
    <t>Pressure instrument for controlling the pressure along the pipes</t>
  </si>
  <si>
    <t>PUMP 2</t>
  </si>
  <si>
    <t>Length (m)</t>
  </si>
  <si>
    <t>PUMP 3</t>
  </si>
  <si>
    <t>latitude</t>
  </si>
  <si>
    <t>longitude</t>
  </si>
  <si>
    <t>altitude (m)</t>
  </si>
  <si>
    <t>X</t>
  </si>
  <si>
    <t>Y</t>
  </si>
  <si>
    <t>Distance (km)</t>
  </si>
  <si>
    <t>PN10 (560mm)</t>
  </si>
  <si>
    <t>PN 16 (630 mm)</t>
  </si>
  <si>
    <t>Gradient Line</t>
  </si>
  <si>
    <t xml:space="preserve">Gradient i_moody </t>
  </si>
  <si>
    <t>Maximum Pipe Head (m)</t>
  </si>
  <si>
    <t>Pump 50 head</t>
  </si>
  <si>
    <t>Pump 100 head</t>
  </si>
  <si>
    <t>Pump 60 head</t>
  </si>
  <si>
    <t>Pump 20 head</t>
  </si>
  <si>
    <t>PN10 (560 mm)</t>
  </si>
  <si>
    <t>Pump 80 Head</t>
  </si>
  <si>
    <t>Pump 50 Head</t>
  </si>
  <si>
    <t>Pipe</t>
  </si>
  <si>
    <t xml:space="preserve">Required number of PE100 pipes </t>
  </si>
  <si>
    <t>Total weight of the required pipes</t>
  </si>
  <si>
    <t>HDPE Approximated carbon footprint (High Density Polythene)</t>
  </si>
  <si>
    <t>https://lutpub.lut.fi/handle/10024/163642</t>
  </si>
  <si>
    <t>Pumps</t>
  </si>
  <si>
    <t>Pump 100m head</t>
  </si>
  <si>
    <t>Lowara - e-XC150-280/2500W/L25BDS4AG</t>
  </si>
  <si>
    <t>Pump 50m head</t>
  </si>
  <si>
    <t>Pump 40m head</t>
  </si>
  <si>
    <t>Pump Selection:</t>
  </si>
  <si>
    <t>Pump Max head (m)</t>
  </si>
  <si>
    <t>Pump Max Flow rate capacity (m^3/s)</t>
  </si>
  <si>
    <t>https://www.xylem.com/en-uk/products--services/pumps-packaged-pump-systems/pumps/end-suction-pumps/e-nsc-cast-iron-end-suction-pumps/</t>
  </si>
  <si>
    <t>GPS Visualiser (google earth map converted to excel format)</t>
  </si>
  <si>
    <t xml:space="preserve">PE100 Pipes are suitable for horizontal directional drilling installation </t>
  </si>
  <si>
    <t>https://www.pe100plus.com/PE-Pipes/Technical-guidance/Trenchless/Methods/Installation/Horizontal-Directional-Drilling-i1305.html</t>
  </si>
  <si>
    <t>Choose pump based on MAx pressure and required head, optimal pump is based on its highest efficiency for producing that required head</t>
  </si>
  <si>
    <t>https://www.xylect.com/bin/Xylect.dll?RQID=C5306ABC8C4548B8B2C8E502AB5437E9</t>
  </si>
  <si>
    <t>Pump 70m head</t>
  </si>
  <si>
    <t>Pump 20m head</t>
  </si>
  <si>
    <t>https://www.xylect.com/bin/Xylect.dll?RQID=58E15A6A4DFD4A4CAE3ECFAF96187650</t>
  </si>
  <si>
    <t>Pump 45 Head</t>
  </si>
  <si>
    <t xml:space="preserve">Barr Formula friction factor </t>
  </si>
  <si>
    <t>Q (l/s)</t>
  </si>
  <si>
    <t>Manufacture Datasheet:</t>
  </si>
  <si>
    <t>Plastic pipework (HDPE)</t>
  </si>
  <si>
    <t>150mm diameter</t>
  </si>
  <si>
    <t>metres</t>
  </si>
  <si>
    <t>Plastic</t>
  </si>
  <si>
    <r>
      <t>tCO</t>
    </r>
    <r>
      <rPr>
        <vertAlign val="subscript"/>
        <sz val="11"/>
        <rFont val="Calibri"/>
        <family val="2"/>
        <scheme val="minor"/>
      </rPr>
      <t>2</t>
    </r>
    <r>
      <rPr>
        <sz val="11"/>
        <rFont val="Calibri"/>
        <family val="2"/>
        <scheme val="minor"/>
      </rPr>
      <t>e/t</t>
    </r>
  </si>
  <si>
    <r>
      <t>Carbon factor taken directly from the ICE V3: Plastic &gt; HDPE Pipe. Conversion factor calculated from approximate 150mm pipe wall thickness of 5mm and HDPE density 0.97 t/m</t>
    </r>
    <r>
      <rPr>
        <vertAlign val="superscript"/>
        <sz val="11"/>
        <rFont val="Calibri"/>
        <family val="2"/>
        <scheme val="minor"/>
      </rPr>
      <t>3</t>
    </r>
    <r>
      <rPr>
        <sz val="11"/>
        <rFont val="Calibri"/>
        <family val="2"/>
        <scheme val="minor"/>
      </rPr>
      <t>.</t>
    </r>
  </si>
  <si>
    <t>225mm diameter</t>
  </si>
  <si>
    <t>tCO2e/t</t>
  </si>
  <si>
    <r>
      <t>Carbon factor taken directly from the ICE V3: Plastic &gt; HDPE Pipe. Conversion factor calculated from approximate 225mm pipe wall thickness of 6mm and HDPE density 0.97 t/m</t>
    </r>
    <r>
      <rPr>
        <vertAlign val="superscript"/>
        <sz val="11"/>
        <rFont val="Calibri"/>
        <family val="2"/>
        <scheme val="minor"/>
      </rPr>
      <t>3</t>
    </r>
    <r>
      <rPr>
        <sz val="11"/>
        <rFont val="Calibri"/>
        <family val="2"/>
        <scheme val="minor"/>
      </rPr>
      <t>.</t>
    </r>
  </si>
  <si>
    <t>300mm diameter</t>
  </si>
  <si>
    <r>
      <t>Carbon factor taken directly from the ICE V3: Plastic &gt; HDPE Pipe. Conversion factor calculated from approximate 300mm pipe wall thickness of 8mm and HDPE density 0.97 t/m</t>
    </r>
    <r>
      <rPr>
        <vertAlign val="superscript"/>
        <sz val="11"/>
        <rFont val="Calibri"/>
        <family val="2"/>
        <scheme val="minor"/>
      </rPr>
      <t>3</t>
    </r>
    <r>
      <rPr>
        <sz val="11"/>
        <rFont val="Calibri"/>
        <family val="2"/>
        <scheme val="minor"/>
      </rPr>
      <t>.</t>
    </r>
  </si>
  <si>
    <t>450mm diameter</t>
  </si>
  <si>
    <r>
      <t>Carbon factor taken directly from the ICE V3: Plastic &gt; HDPE Pipe. Conversion factor calculated from approximate 450mm pipe wall thickness of 8mm and HDPE density 0.97 t/m</t>
    </r>
    <r>
      <rPr>
        <vertAlign val="superscript"/>
        <sz val="11"/>
        <rFont val="Calibri"/>
        <family val="2"/>
        <scheme val="minor"/>
      </rPr>
      <t>3</t>
    </r>
    <r>
      <rPr>
        <sz val="11"/>
        <rFont val="Calibri"/>
        <family val="2"/>
        <scheme val="minor"/>
      </rPr>
      <t>.</t>
    </r>
  </si>
  <si>
    <t>600mm diameter</t>
  </si>
  <si>
    <r>
      <t>Carbon factor taken directly from the ICE V3: Plastic &gt; HDPE Pipe. Conversion factor calculated from approximate 600mm pipe wall thickness of 11mm and HDPE density 0.97 t/m</t>
    </r>
    <r>
      <rPr>
        <vertAlign val="superscript"/>
        <sz val="11"/>
        <rFont val="Calibri"/>
        <family val="2"/>
        <scheme val="minor"/>
      </rPr>
      <t>3</t>
    </r>
    <r>
      <rPr>
        <sz val="11"/>
        <rFont val="Calibri"/>
        <family val="2"/>
        <scheme val="minor"/>
      </rPr>
      <t>.</t>
    </r>
  </si>
  <si>
    <t>900mm diameter</t>
  </si>
  <si>
    <r>
      <t>Carbon factor taken directly from the ICE V3: Plastic &gt; HDPE Pipe. Conversion factor calculated from approximate 900mm pipe wall thickness of 16mm and HDPE density 0.97 t/m</t>
    </r>
    <r>
      <rPr>
        <vertAlign val="superscript"/>
        <sz val="11"/>
        <rFont val="Calibri"/>
        <family val="2"/>
        <scheme val="minor"/>
      </rPr>
      <t>3</t>
    </r>
    <r>
      <rPr>
        <sz val="11"/>
        <rFont val="Calibri"/>
        <family val="2"/>
        <scheme val="minor"/>
      </rPr>
      <t>.</t>
    </r>
  </si>
  <si>
    <t>1200mm diameter</t>
  </si>
  <si>
    <r>
      <t>Carbon factor taken directly from the ICE V3: Plastic &gt; HDPE Pipe. Conversion factor calculated from approximate 1200mm pipe wall thickness of 20mm and HDPE density of 0.97 t/m</t>
    </r>
    <r>
      <rPr>
        <vertAlign val="superscript"/>
        <sz val="11"/>
        <rFont val="Calibri"/>
        <family val="2"/>
        <scheme val="minor"/>
      </rPr>
      <t>3</t>
    </r>
    <r>
      <rPr>
        <sz val="11"/>
        <rFont val="Calibri"/>
        <family val="2"/>
        <scheme val="minor"/>
      </rPr>
      <t>.</t>
    </r>
  </si>
  <si>
    <t>1500mm diameter</t>
  </si>
  <si>
    <r>
      <t>Carbon factor taken directly from the ICE V3: Plastic &gt; HDPE Pipe. Conversion factor calculated from approximate 1500mm pipe wall thickness of 25mm and HDPE density of 0.97 t/m</t>
    </r>
    <r>
      <rPr>
        <vertAlign val="superscript"/>
        <sz val="11"/>
        <rFont val="Calibri"/>
        <family val="2"/>
        <scheme val="minor"/>
      </rPr>
      <t>3</t>
    </r>
    <r>
      <rPr>
        <sz val="11"/>
        <rFont val="Calibri"/>
        <family val="2"/>
        <scheme val="minor"/>
      </rPr>
      <t>.</t>
    </r>
  </si>
  <si>
    <t>1800mm diameter</t>
  </si>
  <si>
    <r>
      <t>Carbon factor taken directly from the ICE V3: Plastic &gt; HDPE Pipe. Conversion factor calculated from approximate 1800mm pipe wall thickness of 30mm and HDPE density of 0.97 t/m</t>
    </r>
    <r>
      <rPr>
        <vertAlign val="superscript"/>
        <sz val="11"/>
        <rFont val="Calibri"/>
        <family val="2"/>
        <scheme val="minor"/>
      </rPr>
      <t>3</t>
    </r>
    <r>
      <rPr>
        <sz val="11"/>
        <rFont val="Calibri"/>
        <family val="2"/>
        <scheme val="minor"/>
      </rPr>
      <t>.</t>
    </r>
  </si>
  <si>
    <t>Material/Product</t>
  </si>
  <si>
    <t>Input Unit</t>
  </si>
  <si>
    <t>Material Type</t>
  </si>
  <si>
    <t>Carbon Factor</t>
  </si>
  <si>
    <t>Carbon Factor Units</t>
  </si>
  <si>
    <t>Conversion Factor</t>
  </si>
  <si>
    <t>Methodology</t>
  </si>
  <si>
    <t>Total distance (m)</t>
  </si>
  <si>
    <t>Total mass (kg)</t>
  </si>
  <si>
    <t>Total mass in tonnes (t)</t>
  </si>
  <si>
    <t>Capital carbon Factor of HDPE</t>
  </si>
  <si>
    <t>HDPE Density (kg/m3)</t>
  </si>
  <si>
    <t>Volume (m3)</t>
  </si>
  <si>
    <t>Capital Carbon (tonnes)</t>
  </si>
  <si>
    <t>Outer Diameter (mm)</t>
  </si>
  <si>
    <t>Inner Diameter(mm)</t>
  </si>
  <si>
    <t>Outer Pipe Area (m2)</t>
  </si>
  <si>
    <t>velocity (m3/s)</t>
  </si>
  <si>
    <t>Reynold's Number</t>
  </si>
  <si>
    <t>Water Density(Kg/m^3)</t>
  </si>
  <si>
    <t>Water Dynamic Viscosity (Kg/(m*s))</t>
  </si>
  <si>
    <t>Inner Pipe area (m2)</t>
  </si>
  <si>
    <t>Friction factor</t>
  </si>
  <si>
    <t>Head loss (m)</t>
  </si>
  <si>
    <t>Pump Power/Efficiency Formula</t>
  </si>
  <si>
    <t>https://wilo.com/ie/en/Solutions-Finder/FAQ/Centrifugal-pump/What-is-the-efficiency-of-a-centrifugal-pump/</t>
  </si>
  <si>
    <t>Operation Carbon (tonnes)</t>
  </si>
  <si>
    <t>Thickness</t>
  </si>
  <si>
    <t>Pump Power (kW/yr)</t>
  </si>
  <si>
    <t>How many years?</t>
  </si>
  <si>
    <t>Total carbon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</si>
</sst>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16" x14ac:knownFonts="1">
    <font>
      <sz val="10"/>
      <name val="Arial"/>
      <family val="2"/>
    </font>
    <font>
      <sz val="12"/>
      <color rgb="FF000000"/>
      <name val="Calibri"/>
      <family val="2"/>
    </font>
    <font>
      <u/>
      <sz val="10"/>
      <color theme="10"/>
      <name val="Arial"/>
      <family val="2"/>
    </font>
    <font>
      <sz val="10"/>
      <name val="Arial"/>
      <family val="2"/>
    </font>
    <font>
      <sz val="16"/>
      <name val="Arial"/>
      <family val="2"/>
    </font>
    <font>
      <sz val="20"/>
      <name val="Arial"/>
      <family val="2"/>
    </font>
    <font>
      <sz val="10"/>
      <color rgb="FFFF0000"/>
      <name val="Arial"/>
      <family val="2"/>
    </font>
    <font>
      <sz val="18"/>
      <name val="Arial"/>
      <family val="2"/>
    </font>
    <font>
      <b/>
      <u/>
      <sz val="10"/>
      <color rgb="FF000000"/>
      <name val="Arial"/>
      <family val="2"/>
    </font>
    <font>
      <b/>
      <sz val="10"/>
      <color rgb="FF000000"/>
      <name val="Arial"/>
      <family val="2"/>
    </font>
    <font>
      <sz val="11"/>
      <name val="Calibri"/>
      <family val="2"/>
      <scheme val="minor"/>
    </font>
    <font>
      <vertAlign val="subscript"/>
      <sz val="11"/>
      <name val="Calibri"/>
      <family val="2"/>
      <scheme val="minor"/>
    </font>
    <font>
      <vertAlign val="superscript"/>
      <sz val="11"/>
      <name val="Calibri"/>
      <family val="2"/>
      <scheme val="minor"/>
    </font>
    <font>
      <b/>
      <sz val="10"/>
      <color theme="0"/>
      <name val="Calibri"/>
      <family val="2"/>
      <scheme val="minor"/>
    </font>
    <font>
      <u/>
      <sz val="16"/>
      <color theme="10"/>
      <name val="Arial"/>
      <family val="2"/>
    </font>
    <font>
      <b/>
      <sz val="16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8BCB"/>
        <bgColor indexed="64"/>
      </patternFill>
    </fill>
    <fill>
      <patternFill patternType="solid">
        <fgColor rgb="FF92D05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3">
    <xf numFmtId="0" fontId="0" fillId="0" borderId="0" xfId="0"/>
    <xf numFmtId="0" fontId="1" fillId="0" borderId="0" xfId="0" applyFont="1"/>
    <xf numFmtId="0" fontId="2" fillId="0" borderId="0" xfId="1"/>
    <xf numFmtId="0" fontId="0" fillId="2" borderId="0" xfId="0" applyFill="1"/>
    <xf numFmtId="0" fontId="3" fillId="0" borderId="0" xfId="0" applyFont="1"/>
    <xf numFmtId="0" fontId="5" fillId="2" borderId="0" xfId="0" applyFont="1" applyFill="1"/>
    <xf numFmtId="0" fontId="5" fillId="0" borderId="0" xfId="0" applyFont="1"/>
    <xf numFmtId="0" fontId="4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1" applyFont="1"/>
    <xf numFmtId="0" fontId="9" fillId="0" borderId="0" xfId="0" applyFont="1"/>
    <xf numFmtId="0" fontId="4" fillId="3" borderId="0" xfId="0" applyFont="1" applyFill="1"/>
    <xf numFmtId="0" fontId="0" fillId="3" borderId="0" xfId="0" applyFill="1"/>
    <xf numFmtId="0" fontId="3" fillId="2" borderId="0" xfId="0" applyFont="1" applyFill="1"/>
    <xf numFmtId="0" fontId="5" fillId="4" borderId="0" xfId="0" applyFont="1" applyFill="1"/>
    <xf numFmtId="0" fontId="0" fillId="4" borderId="0" xfId="0" applyFill="1"/>
    <xf numFmtId="0" fontId="0" fillId="0" borderId="0" xfId="0" applyFill="1"/>
    <xf numFmtId="0" fontId="0" fillId="5" borderId="2" xfId="0" applyFill="1" applyBorder="1" applyAlignment="1">
      <alignment horizontal="left" vertical="center" wrapText="1"/>
    </xf>
    <xf numFmtId="0" fontId="0" fillId="5" borderId="2" xfId="0" applyFill="1" applyBorder="1" applyAlignment="1">
      <alignment horizontal="center" vertical="center" wrapText="1"/>
    </xf>
    <xf numFmtId="0" fontId="0" fillId="0" borderId="2" xfId="0" applyBorder="1" applyAlignment="1">
      <alignment horizontal="left" vertical="center"/>
    </xf>
    <xf numFmtId="2" fontId="0" fillId="0" borderId="2" xfId="0" applyNumberForma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164" fontId="0" fillId="0" borderId="2" xfId="0" applyNumberFormat="1" applyBorder="1" applyAlignment="1">
      <alignment horizontal="center" vertical="center" wrapText="1"/>
    </xf>
    <xf numFmtId="0" fontId="10" fillId="0" borderId="2" xfId="0" applyFont="1" applyBorder="1" applyAlignment="1">
      <alignment vertical="center" wrapText="1"/>
    </xf>
    <xf numFmtId="0" fontId="13" fillId="6" borderId="5" xfId="0" applyFont="1" applyFill="1" applyBorder="1" applyAlignment="1">
      <alignment horizontal="center" vertical="center" wrapText="1"/>
    </xf>
    <xf numFmtId="165" fontId="13" fillId="6" borderId="5" xfId="0" applyNumberFormat="1" applyFont="1" applyFill="1" applyBorder="1" applyAlignment="1">
      <alignment horizontal="center" vertical="center" wrapText="1"/>
    </xf>
    <xf numFmtId="0" fontId="14" fillId="0" borderId="0" xfId="1" applyFont="1"/>
    <xf numFmtId="0" fontId="15" fillId="7" borderId="0" xfId="0" applyFont="1" applyFill="1"/>
    <xf numFmtId="0" fontId="0" fillId="5" borderId="1" xfId="0" applyFill="1" applyBorder="1" applyAlignment="1">
      <alignment horizontal="center" vertical="center" wrapText="1"/>
    </xf>
    <xf numFmtId="0" fontId="0" fillId="5" borderId="3" xfId="0" applyFill="1" applyBorder="1" applyAlignment="1">
      <alignment horizontal="center" vertical="center" wrapText="1"/>
    </xf>
    <xf numFmtId="0" fontId="0" fillId="5" borderId="4" xfId="0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PUMP</a:t>
            </a:r>
            <a:r>
              <a:rPr lang="en-GB" baseline="0"/>
              <a:t>ING SYSTEM 1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Design System Curve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'Pump Sizing Calc'!$A$7:$A$23</c:f>
              <c:numCache>
                <c:formatCode>General</c:formatCode>
                <c:ptCount val="17"/>
                <c:pt idx="0">
                  <c:v>0</c:v>
                </c:pt>
                <c:pt idx="1">
                  <c:v>40</c:v>
                </c:pt>
                <c:pt idx="2">
                  <c:v>80</c:v>
                </c:pt>
                <c:pt idx="3">
                  <c:v>120</c:v>
                </c:pt>
                <c:pt idx="4">
                  <c:v>160</c:v>
                </c:pt>
                <c:pt idx="5">
                  <c:v>200</c:v>
                </c:pt>
                <c:pt idx="6">
                  <c:v>240</c:v>
                </c:pt>
                <c:pt idx="7">
                  <c:v>280</c:v>
                </c:pt>
                <c:pt idx="8">
                  <c:v>320</c:v>
                </c:pt>
                <c:pt idx="9">
                  <c:v>360</c:v>
                </c:pt>
                <c:pt idx="10">
                  <c:v>400</c:v>
                </c:pt>
                <c:pt idx="11">
                  <c:v>440</c:v>
                </c:pt>
                <c:pt idx="12">
                  <c:v>480</c:v>
                </c:pt>
                <c:pt idx="13">
                  <c:v>520</c:v>
                </c:pt>
                <c:pt idx="14">
                  <c:v>560</c:v>
                </c:pt>
                <c:pt idx="15">
                  <c:v>600</c:v>
                </c:pt>
                <c:pt idx="16">
                  <c:v>640</c:v>
                </c:pt>
              </c:numCache>
            </c:numRef>
          </c:xVal>
          <c:yVal>
            <c:numRef>
              <c:f>'Pump Sizing Calc'!$F$7:$F$23</c:f>
              <c:numCache>
                <c:formatCode>General</c:formatCode>
                <c:ptCount val="17"/>
                <c:pt idx="0">
                  <c:v>44.88</c:v>
                </c:pt>
                <c:pt idx="1">
                  <c:v>45.780899021031502</c:v>
                </c:pt>
                <c:pt idx="2">
                  <c:v>48.483596084125992</c:v>
                </c:pt>
                <c:pt idx="3">
                  <c:v>52.988091189283473</c:v>
                </c:pt>
                <c:pt idx="4">
                  <c:v>59.294384336503953</c:v>
                </c:pt>
                <c:pt idx="5">
                  <c:v>67.402475525787423</c:v>
                </c:pt>
                <c:pt idx="6">
                  <c:v>77.312364757133892</c:v>
                </c:pt>
                <c:pt idx="7">
                  <c:v>89.024052030543359</c:v>
                </c:pt>
                <c:pt idx="8">
                  <c:v>102.53753734601581</c:v>
                </c:pt>
                <c:pt idx="9">
                  <c:v>117.85282070355126</c:v>
                </c:pt>
                <c:pt idx="10">
                  <c:v>134.96990210314971</c:v>
                </c:pt>
                <c:pt idx="11">
                  <c:v>153.88878154481114</c:v>
                </c:pt>
                <c:pt idx="12">
                  <c:v>174.60945902853555</c:v>
                </c:pt>
                <c:pt idx="13">
                  <c:v>197.13193455432301</c:v>
                </c:pt>
                <c:pt idx="14">
                  <c:v>221.45620812217342</c:v>
                </c:pt>
                <c:pt idx="15">
                  <c:v>247.58227973208682</c:v>
                </c:pt>
                <c:pt idx="16">
                  <c:v>275.51014938406325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184-AD4F-AD31-FF4323A8841F}"/>
            </c:ext>
          </c:extLst>
        </c:ser>
        <c:ser>
          <c:idx val="2"/>
          <c:order val="1"/>
          <c:tx>
            <c:v>Manufacture's Pump Curve</c:v>
          </c:tx>
          <c:spPr>
            <a:ln w="19050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rgbClr val="FF0000"/>
                </a:solidFill>
                <a:prstDash val="sysDot"/>
              </a:ln>
              <a:effectLst/>
            </c:spPr>
            <c:trendlineType val="poly"/>
            <c:order val="2"/>
            <c:forward val="100"/>
            <c:backward val="110"/>
            <c:dispRSqr val="0"/>
            <c:dispEq val="0"/>
          </c:trendline>
          <c:xVal>
            <c:numRef>
              <c:f>'Pump Sizing Calc'!$B$28:$B$38</c:f>
              <c:numCache>
                <c:formatCode>General</c:formatCode>
                <c:ptCount val="11"/>
                <c:pt idx="0">
                  <c:v>111.1111111111111</c:v>
                </c:pt>
                <c:pt idx="1">
                  <c:v>138.88888888888889</c:v>
                </c:pt>
                <c:pt idx="2">
                  <c:v>166.66666666666666</c:v>
                </c:pt>
                <c:pt idx="3">
                  <c:v>194.44444444444446</c:v>
                </c:pt>
                <c:pt idx="4">
                  <c:v>222.2222222222222</c:v>
                </c:pt>
                <c:pt idx="5">
                  <c:v>250</c:v>
                </c:pt>
                <c:pt idx="6">
                  <c:v>277.77777777777777</c:v>
                </c:pt>
                <c:pt idx="7">
                  <c:v>305.5555555555556</c:v>
                </c:pt>
                <c:pt idx="8">
                  <c:v>333.33333333333331</c:v>
                </c:pt>
                <c:pt idx="9">
                  <c:v>361.11111111111109</c:v>
                </c:pt>
                <c:pt idx="10">
                  <c:v>375</c:v>
                </c:pt>
              </c:numCache>
            </c:numRef>
          </c:xVal>
          <c:yVal>
            <c:numRef>
              <c:f>'Pump Sizing Calc'!$C$28:$C$38</c:f>
              <c:numCache>
                <c:formatCode>General</c:formatCode>
                <c:ptCount val="11"/>
                <c:pt idx="0">
                  <c:v>130</c:v>
                </c:pt>
                <c:pt idx="1">
                  <c:v>129</c:v>
                </c:pt>
                <c:pt idx="2">
                  <c:v>127</c:v>
                </c:pt>
                <c:pt idx="3">
                  <c:v>125</c:v>
                </c:pt>
                <c:pt idx="4">
                  <c:v>123</c:v>
                </c:pt>
                <c:pt idx="5">
                  <c:v>120</c:v>
                </c:pt>
                <c:pt idx="6">
                  <c:v>118</c:v>
                </c:pt>
                <c:pt idx="7">
                  <c:v>115</c:v>
                </c:pt>
                <c:pt idx="8">
                  <c:v>110</c:v>
                </c:pt>
                <c:pt idx="9">
                  <c:v>105</c:v>
                </c:pt>
                <c:pt idx="10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E95-7A45-8725-A476AC44D9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2440479"/>
        <c:axId val="736261231"/>
      </c:scatterChart>
      <c:valAx>
        <c:axId val="7324404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Flowrate (L/s)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N"/>
          </a:p>
        </c:txPr>
        <c:crossAx val="736261231"/>
        <c:crosses val="autoZero"/>
        <c:crossBetween val="midCat"/>
      </c:valAx>
      <c:valAx>
        <c:axId val="7362612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Head (m)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N"/>
          </a:p>
        </c:txPr>
        <c:crossAx val="73244047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PUMPING SYSTEM 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Design System Curve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'Pump Sizing Calc'!$A$7:$A$23</c:f>
              <c:numCache>
                <c:formatCode>General</c:formatCode>
                <c:ptCount val="17"/>
                <c:pt idx="0">
                  <c:v>0</c:v>
                </c:pt>
                <c:pt idx="1">
                  <c:v>40</c:v>
                </c:pt>
                <c:pt idx="2">
                  <c:v>80</c:v>
                </c:pt>
                <c:pt idx="3">
                  <c:v>120</c:v>
                </c:pt>
                <c:pt idx="4">
                  <c:v>160</c:v>
                </c:pt>
                <c:pt idx="5">
                  <c:v>200</c:v>
                </c:pt>
                <c:pt idx="6">
                  <c:v>240</c:v>
                </c:pt>
                <c:pt idx="7">
                  <c:v>280</c:v>
                </c:pt>
                <c:pt idx="8">
                  <c:v>320</c:v>
                </c:pt>
                <c:pt idx="9">
                  <c:v>360</c:v>
                </c:pt>
                <c:pt idx="10">
                  <c:v>400</c:v>
                </c:pt>
                <c:pt idx="11">
                  <c:v>440</c:v>
                </c:pt>
                <c:pt idx="12">
                  <c:v>480</c:v>
                </c:pt>
                <c:pt idx="13">
                  <c:v>520</c:v>
                </c:pt>
                <c:pt idx="14">
                  <c:v>560</c:v>
                </c:pt>
                <c:pt idx="15">
                  <c:v>600</c:v>
                </c:pt>
                <c:pt idx="16">
                  <c:v>640</c:v>
                </c:pt>
              </c:numCache>
            </c:numRef>
          </c:xVal>
          <c:yVal>
            <c:numRef>
              <c:f>'Pump Sizing Calc'!$F$61:$F$77</c:f>
              <c:numCache>
                <c:formatCode>General</c:formatCode>
                <c:ptCount val="17"/>
                <c:pt idx="0">
                  <c:v>24.21</c:v>
                </c:pt>
                <c:pt idx="1">
                  <c:v>24.65044289275658</c:v>
                </c:pt>
                <c:pt idx="2">
                  <c:v>25.97177157102632</c:v>
                </c:pt>
                <c:pt idx="3">
                  <c:v>28.173986034809218</c:v>
                </c:pt>
                <c:pt idx="4">
                  <c:v>31.257086284105274</c:v>
                </c:pt>
                <c:pt idx="5">
                  <c:v>35.221072318914494</c:v>
                </c:pt>
                <c:pt idx="6">
                  <c:v>40.065944139236862</c:v>
                </c:pt>
                <c:pt idx="7">
                  <c:v>45.791701745072402</c:v>
                </c:pt>
                <c:pt idx="8">
                  <c:v>52.398345136421092</c:v>
                </c:pt>
                <c:pt idx="9">
                  <c:v>59.88587431328294</c:v>
                </c:pt>
                <c:pt idx="10">
                  <c:v>68.254289275657953</c:v>
                </c:pt>
                <c:pt idx="11">
                  <c:v>77.503590023546138</c:v>
                </c:pt>
                <c:pt idx="12">
                  <c:v>87.633776556947453</c:v>
                </c:pt>
                <c:pt idx="13">
                  <c:v>98.644848875861953</c:v>
                </c:pt>
                <c:pt idx="14">
                  <c:v>110.53680698028958</c:v>
                </c:pt>
                <c:pt idx="15">
                  <c:v>123.3096508702304</c:v>
                </c:pt>
                <c:pt idx="16">
                  <c:v>136.96338054568437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22B-CD4E-BACD-01A55300429B}"/>
            </c:ext>
          </c:extLst>
        </c:ser>
        <c:ser>
          <c:idx val="2"/>
          <c:order val="1"/>
          <c:tx>
            <c:v>Manufacture's Pump Curve</c:v>
          </c:tx>
          <c:spPr>
            <a:ln w="19050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rgbClr val="FF0000"/>
                </a:solidFill>
                <a:prstDash val="sysDot"/>
              </a:ln>
              <a:effectLst/>
            </c:spPr>
            <c:trendlineType val="poly"/>
            <c:order val="2"/>
            <c:forward val="100"/>
            <c:backward val="110"/>
            <c:dispRSqr val="0"/>
            <c:dispEq val="0"/>
          </c:trendline>
          <c:xVal>
            <c:numRef>
              <c:f>'Pump Sizing Calc'!$B$83:$B$93</c:f>
              <c:numCache>
                <c:formatCode>General</c:formatCode>
                <c:ptCount val="11"/>
                <c:pt idx="0">
                  <c:v>111.1111111111111</c:v>
                </c:pt>
                <c:pt idx="1">
                  <c:v>138.88888888888889</c:v>
                </c:pt>
                <c:pt idx="2">
                  <c:v>166.66666666666666</c:v>
                </c:pt>
                <c:pt idx="3">
                  <c:v>194.44444444444446</c:v>
                </c:pt>
                <c:pt idx="4">
                  <c:v>222.2222222222222</c:v>
                </c:pt>
                <c:pt idx="5">
                  <c:v>250</c:v>
                </c:pt>
                <c:pt idx="6">
                  <c:v>277.77777777777777</c:v>
                </c:pt>
                <c:pt idx="7">
                  <c:v>305.5555555555556</c:v>
                </c:pt>
                <c:pt idx="8">
                  <c:v>333.33333333333331</c:v>
                </c:pt>
                <c:pt idx="9">
                  <c:v>361.11111111111109</c:v>
                </c:pt>
                <c:pt idx="10">
                  <c:v>388.88888888888891</c:v>
                </c:pt>
              </c:numCache>
            </c:numRef>
          </c:xVal>
          <c:yVal>
            <c:numRef>
              <c:f>'Pump Sizing Calc'!$C$83:$C$93</c:f>
              <c:numCache>
                <c:formatCode>General</c:formatCode>
                <c:ptCount val="11"/>
                <c:pt idx="0">
                  <c:v>64</c:v>
                </c:pt>
                <c:pt idx="1">
                  <c:v>63</c:v>
                </c:pt>
                <c:pt idx="2">
                  <c:v>62</c:v>
                </c:pt>
                <c:pt idx="3">
                  <c:v>61</c:v>
                </c:pt>
                <c:pt idx="4">
                  <c:v>60</c:v>
                </c:pt>
                <c:pt idx="5">
                  <c:v>58</c:v>
                </c:pt>
                <c:pt idx="6">
                  <c:v>56</c:v>
                </c:pt>
                <c:pt idx="7">
                  <c:v>54</c:v>
                </c:pt>
                <c:pt idx="8">
                  <c:v>51</c:v>
                </c:pt>
                <c:pt idx="9">
                  <c:v>49</c:v>
                </c:pt>
                <c:pt idx="10">
                  <c:v>48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58D-7C4C-ABBA-2E2685FFAF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2440479"/>
        <c:axId val="736261231"/>
      </c:scatterChart>
      <c:valAx>
        <c:axId val="7324404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Flowrate (L/s)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N"/>
          </a:p>
        </c:txPr>
        <c:crossAx val="736261231"/>
        <c:crosses val="autoZero"/>
        <c:crossBetween val="midCat"/>
      </c:valAx>
      <c:valAx>
        <c:axId val="7362612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Head (m)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N"/>
          </a:p>
        </c:txPr>
        <c:crossAx val="73244047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PUMPING SYTEM 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Design System Curve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'Pump Sizing Calc'!$A$7:$A$23</c:f>
              <c:numCache>
                <c:formatCode>General</c:formatCode>
                <c:ptCount val="17"/>
                <c:pt idx="0">
                  <c:v>0</c:v>
                </c:pt>
                <c:pt idx="1">
                  <c:v>40</c:v>
                </c:pt>
                <c:pt idx="2">
                  <c:v>80</c:v>
                </c:pt>
                <c:pt idx="3">
                  <c:v>120</c:v>
                </c:pt>
                <c:pt idx="4">
                  <c:v>160</c:v>
                </c:pt>
                <c:pt idx="5">
                  <c:v>200</c:v>
                </c:pt>
                <c:pt idx="6">
                  <c:v>240</c:v>
                </c:pt>
                <c:pt idx="7">
                  <c:v>280</c:v>
                </c:pt>
                <c:pt idx="8">
                  <c:v>320</c:v>
                </c:pt>
                <c:pt idx="9">
                  <c:v>360</c:v>
                </c:pt>
                <c:pt idx="10">
                  <c:v>400</c:v>
                </c:pt>
                <c:pt idx="11">
                  <c:v>440</c:v>
                </c:pt>
                <c:pt idx="12">
                  <c:v>480</c:v>
                </c:pt>
                <c:pt idx="13">
                  <c:v>520</c:v>
                </c:pt>
                <c:pt idx="14">
                  <c:v>560</c:v>
                </c:pt>
                <c:pt idx="15">
                  <c:v>600</c:v>
                </c:pt>
                <c:pt idx="16">
                  <c:v>640</c:v>
                </c:pt>
              </c:numCache>
            </c:numRef>
          </c:xVal>
          <c:yVal>
            <c:numRef>
              <c:f>'Pump Sizing Calc'!$F$115:$F$131</c:f>
              <c:numCache>
                <c:formatCode>General</c:formatCode>
                <c:ptCount val="17"/>
                <c:pt idx="0">
                  <c:v>16.59</c:v>
                </c:pt>
                <c:pt idx="1">
                  <c:v>17.03248147390655</c:v>
                </c:pt>
                <c:pt idx="2">
                  <c:v>18.359925895626205</c:v>
                </c:pt>
                <c:pt idx="3">
                  <c:v>20.572333265158964</c:v>
                </c:pt>
                <c:pt idx="4">
                  <c:v>23.669703582504827</c:v>
                </c:pt>
                <c:pt idx="5">
                  <c:v>27.652036847663791</c:v>
                </c:pt>
                <c:pt idx="6">
                  <c:v>32.519333060635859</c:v>
                </c:pt>
                <c:pt idx="7">
                  <c:v>38.271592221421031</c:v>
                </c:pt>
                <c:pt idx="8">
                  <c:v>44.908814330019311</c:v>
                </c:pt>
                <c:pt idx="9">
                  <c:v>52.430999386430685</c:v>
                </c:pt>
                <c:pt idx="10">
                  <c:v>60.838147390655166</c:v>
                </c:pt>
                <c:pt idx="11">
                  <c:v>70.130258342692755</c:v>
                </c:pt>
                <c:pt idx="12">
                  <c:v>80.307332242543438</c:v>
                </c:pt>
                <c:pt idx="13">
                  <c:v>91.369369090207229</c:v>
                </c:pt>
                <c:pt idx="14">
                  <c:v>103.31636888568413</c:v>
                </c:pt>
                <c:pt idx="15">
                  <c:v>116.14833162897412</c:v>
                </c:pt>
                <c:pt idx="16">
                  <c:v>129.86525732007723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8C2-D241-B216-FEEE0310A8FD}"/>
            </c:ext>
          </c:extLst>
        </c:ser>
        <c:ser>
          <c:idx val="2"/>
          <c:order val="1"/>
          <c:tx>
            <c:v>Manufacture's Pump Curve</c:v>
          </c:tx>
          <c:spPr>
            <a:ln w="19050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rgbClr val="FF0000"/>
                </a:solidFill>
                <a:prstDash val="sysDot"/>
              </a:ln>
              <a:effectLst/>
            </c:spPr>
            <c:trendlineType val="poly"/>
            <c:order val="2"/>
            <c:forward val="100"/>
            <c:backward val="110"/>
            <c:dispRSqr val="0"/>
            <c:dispEq val="0"/>
          </c:trendline>
          <c:xVal>
            <c:numRef>
              <c:f>'Pump Sizing Calc'!$B$137:$B$147</c:f>
              <c:numCache>
                <c:formatCode>General</c:formatCode>
                <c:ptCount val="11"/>
                <c:pt idx="0">
                  <c:v>111.1111111111111</c:v>
                </c:pt>
                <c:pt idx="1">
                  <c:v>138.88888888888889</c:v>
                </c:pt>
                <c:pt idx="2">
                  <c:v>166.66666666666666</c:v>
                </c:pt>
                <c:pt idx="3">
                  <c:v>194.44444444444446</c:v>
                </c:pt>
                <c:pt idx="4">
                  <c:v>222.2222222222222</c:v>
                </c:pt>
                <c:pt idx="5">
                  <c:v>250</c:v>
                </c:pt>
                <c:pt idx="6">
                  <c:v>277.77777777777777</c:v>
                </c:pt>
                <c:pt idx="7">
                  <c:v>305.5555555555556</c:v>
                </c:pt>
                <c:pt idx="8">
                  <c:v>333.33333333333331</c:v>
                </c:pt>
                <c:pt idx="9">
                  <c:v>361.11111111111109</c:v>
                </c:pt>
                <c:pt idx="10">
                  <c:v>388.88888888888891</c:v>
                </c:pt>
              </c:numCache>
            </c:numRef>
          </c:xVal>
          <c:yVal>
            <c:numRef>
              <c:f>'Pump Sizing Calc'!$C$137:$C$147</c:f>
              <c:numCache>
                <c:formatCode>General</c:formatCode>
                <c:ptCount val="11"/>
                <c:pt idx="0">
                  <c:v>57</c:v>
                </c:pt>
                <c:pt idx="1">
                  <c:v>56</c:v>
                </c:pt>
                <c:pt idx="2">
                  <c:v>55</c:v>
                </c:pt>
                <c:pt idx="3">
                  <c:v>54</c:v>
                </c:pt>
                <c:pt idx="4">
                  <c:v>53</c:v>
                </c:pt>
                <c:pt idx="5">
                  <c:v>52</c:v>
                </c:pt>
                <c:pt idx="6">
                  <c:v>49</c:v>
                </c:pt>
                <c:pt idx="7">
                  <c:v>48</c:v>
                </c:pt>
                <c:pt idx="8">
                  <c:v>46</c:v>
                </c:pt>
                <c:pt idx="9">
                  <c:v>42</c:v>
                </c:pt>
                <c:pt idx="10">
                  <c:v>38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B8D-AF42-9A49-0B89D36E2B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2440479"/>
        <c:axId val="736261231"/>
      </c:scatterChart>
      <c:valAx>
        <c:axId val="7324404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Flowrate (L/s)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N"/>
          </a:p>
        </c:txPr>
        <c:crossAx val="736261231"/>
        <c:crosses val="autoZero"/>
        <c:crossBetween val="midCat"/>
      </c:valAx>
      <c:valAx>
        <c:axId val="7362612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Head (m)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N"/>
          </a:p>
        </c:txPr>
        <c:crossAx val="73244047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Hydraulic Profile (PN10 560 mm) (Moody)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Pipe Invert Level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'MAIN ROUTE'!$F$2:$F$80</c:f>
              <c:numCache>
                <c:formatCode>General</c:formatCode>
                <c:ptCount val="79"/>
                <c:pt idx="0">
                  <c:v>0</c:v>
                </c:pt>
                <c:pt idx="1">
                  <c:v>0.26750445912670062</c:v>
                </c:pt>
                <c:pt idx="2">
                  <c:v>0.44817898171090326</c:v>
                </c:pt>
                <c:pt idx="3">
                  <c:v>0.67799309022309617</c:v>
                </c:pt>
                <c:pt idx="4">
                  <c:v>1.1491217902994593</c:v>
                </c:pt>
                <c:pt idx="5">
                  <c:v>1.4556389129937735</c:v>
                </c:pt>
                <c:pt idx="6">
                  <c:v>2.0324058948031816</c:v>
                </c:pt>
                <c:pt idx="7">
                  <c:v>2.4980846000901136</c:v>
                </c:pt>
                <c:pt idx="8">
                  <c:v>3.0215539127321129</c:v>
                </c:pt>
                <c:pt idx="9">
                  <c:v>3.7734530957676613</c:v>
                </c:pt>
                <c:pt idx="10">
                  <c:v>4.3501214056206861</c:v>
                </c:pt>
                <c:pt idx="11">
                  <c:v>5.0272647532464694</c:v>
                </c:pt>
                <c:pt idx="12">
                  <c:v>5.2606371184421068</c:v>
                </c:pt>
                <c:pt idx="13">
                  <c:v>5.4305934002639003</c:v>
                </c:pt>
                <c:pt idx="14">
                  <c:v>5.7535231427068174</c:v>
                </c:pt>
                <c:pt idx="15">
                  <c:v>5.9490959338328331</c:v>
                </c:pt>
                <c:pt idx="16">
                  <c:v>6.4434587446160583</c:v>
                </c:pt>
                <c:pt idx="17">
                  <c:v>6.5740652626066964</c:v>
                </c:pt>
                <c:pt idx="18">
                  <c:v>7.0670504512366756</c:v>
                </c:pt>
                <c:pt idx="19">
                  <c:v>7.5654300871639286</c:v>
                </c:pt>
                <c:pt idx="20">
                  <c:v>7.7150185899288717</c:v>
                </c:pt>
                <c:pt idx="21">
                  <c:v>7.9018005674349618</c:v>
                </c:pt>
                <c:pt idx="22">
                  <c:v>8.2005820507752745</c:v>
                </c:pt>
                <c:pt idx="23">
                  <c:v>8.5467651614673503</c:v>
                </c:pt>
                <c:pt idx="24">
                  <c:v>8.8804455565690805</c:v>
                </c:pt>
                <c:pt idx="25">
                  <c:v>9.1246887405432222</c:v>
                </c:pt>
                <c:pt idx="26">
                  <c:v>9.4819619490777391</c:v>
                </c:pt>
                <c:pt idx="27">
                  <c:v>9.7788911944094643</c:v>
                </c:pt>
                <c:pt idx="28">
                  <c:v>10.105961413666913</c:v>
                </c:pt>
                <c:pt idx="29">
                  <c:v>10.542865738156337</c:v>
                </c:pt>
                <c:pt idx="30">
                  <c:v>11.300118477782217</c:v>
                </c:pt>
                <c:pt idx="31">
                  <c:v>11.462324349047668</c:v>
                </c:pt>
                <c:pt idx="32">
                  <c:v>11.687019557409752</c:v>
                </c:pt>
                <c:pt idx="33">
                  <c:v>12.598804063271693</c:v>
                </c:pt>
                <c:pt idx="34">
                  <c:v>13.079443671525079</c:v>
                </c:pt>
                <c:pt idx="35">
                  <c:v>13.203461703126955</c:v>
                </c:pt>
                <c:pt idx="36">
                  <c:v>13.737494209023463</c:v>
                </c:pt>
                <c:pt idx="37">
                  <c:v>13.987550695506553</c:v>
                </c:pt>
                <c:pt idx="38">
                  <c:v>14.678602697800457</c:v>
                </c:pt>
                <c:pt idx="39">
                  <c:v>15.330568547494446</c:v>
                </c:pt>
                <c:pt idx="40">
                  <c:v>16.046588507735539</c:v>
                </c:pt>
                <c:pt idx="41">
                  <c:v>16.650929597394043</c:v>
                </c:pt>
                <c:pt idx="42">
                  <c:v>17.040832659160948</c:v>
                </c:pt>
                <c:pt idx="43">
                  <c:v>17.885045418233272</c:v>
                </c:pt>
                <c:pt idx="44">
                  <c:v>18.400219349314998</c:v>
                </c:pt>
                <c:pt idx="45">
                  <c:v>19.183449140316956</c:v>
                </c:pt>
                <c:pt idx="46">
                  <c:v>20.2644582934496</c:v>
                </c:pt>
                <c:pt idx="47">
                  <c:v>21.519652986523337</c:v>
                </c:pt>
                <c:pt idx="48">
                  <c:v>22.0213105738144</c:v>
                </c:pt>
                <c:pt idx="49">
                  <c:v>23.486504738697885</c:v>
                </c:pt>
                <c:pt idx="50">
                  <c:v>24.115953610699826</c:v>
                </c:pt>
                <c:pt idx="51">
                  <c:v>25.191538727076427</c:v>
                </c:pt>
                <c:pt idx="52">
                  <c:v>26.048949540198983</c:v>
                </c:pt>
                <c:pt idx="53">
                  <c:v>27.080413150519657</c:v>
                </c:pt>
                <c:pt idx="54">
                  <c:v>27.978869961510647</c:v>
                </c:pt>
                <c:pt idx="55">
                  <c:v>28.920115920998089</c:v>
                </c:pt>
                <c:pt idx="56">
                  <c:v>29.405245899027683</c:v>
                </c:pt>
                <c:pt idx="57">
                  <c:v>30.107986329420115</c:v>
                </c:pt>
                <c:pt idx="58">
                  <c:v>31.357902915589463</c:v>
                </c:pt>
                <c:pt idx="59">
                  <c:v>32.459700589651405</c:v>
                </c:pt>
                <c:pt idx="60">
                  <c:v>33.673992053862513</c:v>
                </c:pt>
                <c:pt idx="61">
                  <c:v>34.687784901384752</c:v>
                </c:pt>
                <c:pt idx="62">
                  <c:v>35.559487792847875</c:v>
                </c:pt>
                <c:pt idx="63">
                  <c:v>36.662009088027276</c:v>
                </c:pt>
                <c:pt idx="64">
                  <c:v>37.806150202182593</c:v>
                </c:pt>
                <c:pt idx="65">
                  <c:v>39.142538564221852</c:v>
                </c:pt>
                <c:pt idx="66">
                  <c:v>40.036755254924373</c:v>
                </c:pt>
                <c:pt idx="67">
                  <c:v>40.149547737385859</c:v>
                </c:pt>
                <c:pt idx="68">
                  <c:v>40.851533720870506</c:v>
                </c:pt>
                <c:pt idx="69">
                  <c:v>41.603679476197343</c:v>
                </c:pt>
                <c:pt idx="70">
                  <c:v>42.024459718465543</c:v>
                </c:pt>
                <c:pt idx="71">
                  <c:v>42.82256284877684</c:v>
                </c:pt>
                <c:pt idx="72">
                  <c:v>43.433921717805063</c:v>
                </c:pt>
                <c:pt idx="73">
                  <c:v>44.045801348626917</c:v>
                </c:pt>
                <c:pt idx="74">
                  <c:v>44.437300225574731</c:v>
                </c:pt>
                <c:pt idx="75">
                  <c:v>44.926215023890421</c:v>
                </c:pt>
                <c:pt idx="76">
                  <c:v>45.530766851900147</c:v>
                </c:pt>
                <c:pt idx="77">
                  <c:v>46.039616307597839</c:v>
                </c:pt>
                <c:pt idx="78">
                  <c:v>46.284626840856035</c:v>
                </c:pt>
              </c:numCache>
            </c:numRef>
          </c:xVal>
          <c:yVal>
            <c:numRef>
              <c:f>'MAIN ROUTE'!$C$2:$C$80</c:f>
              <c:numCache>
                <c:formatCode>General</c:formatCode>
                <c:ptCount val="79"/>
                <c:pt idx="0">
                  <c:v>98.4</c:v>
                </c:pt>
                <c:pt idx="1">
                  <c:v>101</c:v>
                </c:pt>
                <c:pt idx="2">
                  <c:v>103.5</c:v>
                </c:pt>
                <c:pt idx="3">
                  <c:v>105.9</c:v>
                </c:pt>
                <c:pt idx="4">
                  <c:v>88.3</c:v>
                </c:pt>
                <c:pt idx="5">
                  <c:v>66.3</c:v>
                </c:pt>
                <c:pt idx="6">
                  <c:v>52</c:v>
                </c:pt>
                <c:pt idx="7">
                  <c:v>50.1</c:v>
                </c:pt>
                <c:pt idx="8">
                  <c:v>46</c:v>
                </c:pt>
                <c:pt idx="9">
                  <c:v>49</c:v>
                </c:pt>
                <c:pt idx="10">
                  <c:v>58.9</c:v>
                </c:pt>
                <c:pt idx="11">
                  <c:v>64</c:v>
                </c:pt>
                <c:pt idx="12">
                  <c:v>60.5</c:v>
                </c:pt>
                <c:pt idx="13">
                  <c:v>58</c:v>
                </c:pt>
                <c:pt idx="14">
                  <c:v>56</c:v>
                </c:pt>
                <c:pt idx="15">
                  <c:v>56.1</c:v>
                </c:pt>
                <c:pt idx="16">
                  <c:v>58.8</c:v>
                </c:pt>
                <c:pt idx="17">
                  <c:v>54</c:v>
                </c:pt>
                <c:pt idx="18">
                  <c:v>53</c:v>
                </c:pt>
                <c:pt idx="19">
                  <c:v>55.2</c:v>
                </c:pt>
                <c:pt idx="20">
                  <c:v>59</c:v>
                </c:pt>
                <c:pt idx="21">
                  <c:v>61</c:v>
                </c:pt>
                <c:pt idx="22">
                  <c:v>57.2</c:v>
                </c:pt>
                <c:pt idx="23">
                  <c:v>57.3</c:v>
                </c:pt>
                <c:pt idx="24">
                  <c:v>56.2</c:v>
                </c:pt>
                <c:pt idx="25">
                  <c:v>58</c:v>
                </c:pt>
                <c:pt idx="26">
                  <c:v>56.6</c:v>
                </c:pt>
                <c:pt idx="27">
                  <c:v>55.2</c:v>
                </c:pt>
                <c:pt idx="28">
                  <c:v>54.8</c:v>
                </c:pt>
                <c:pt idx="29">
                  <c:v>52.6</c:v>
                </c:pt>
                <c:pt idx="30">
                  <c:v>52.8</c:v>
                </c:pt>
                <c:pt idx="31">
                  <c:v>51.1</c:v>
                </c:pt>
                <c:pt idx="32">
                  <c:v>53.6</c:v>
                </c:pt>
                <c:pt idx="33">
                  <c:v>69.099999999999994</c:v>
                </c:pt>
                <c:pt idx="34">
                  <c:v>63.4</c:v>
                </c:pt>
                <c:pt idx="35">
                  <c:v>61.3</c:v>
                </c:pt>
                <c:pt idx="36">
                  <c:v>57.2</c:v>
                </c:pt>
                <c:pt idx="37">
                  <c:v>65</c:v>
                </c:pt>
                <c:pt idx="38">
                  <c:v>52.6</c:v>
                </c:pt>
                <c:pt idx="39">
                  <c:v>52.7</c:v>
                </c:pt>
                <c:pt idx="40">
                  <c:v>83.6</c:v>
                </c:pt>
                <c:pt idx="41">
                  <c:v>106.8</c:v>
                </c:pt>
                <c:pt idx="42">
                  <c:v>113.7</c:v>
                </c:pt>
                <c:pt idx="43">
                  <c:v>133.5</c:v>
                </c:pt>
                <c:pt idx="44">
                  <c:v>136.4</c:v>
                </c:pt>
                <c:pt idx="45">
                  <c:v>131.69999999999999</c:v>
                </c:pt>
                <c:pt idx="46">
                  <c:v>140.6</c:v>
                </c:pt>
                <c:pt idx="47">
                  <c:v>172.2</c:v>
                </c:pt>
                <c:pt idx="48">
                  <c:v>173</c:v>
                </c:pt>
                <c:pt idx="49">
                  <c:v>150</c:v>
                </c:pt>
                <c:pt idx="50">
                  <c:v>156.6</c:v>
                </c:pt>
                <c:pt idx="51">
                  <c:v>120.7</c:v>
                </c:pt>
                <c:pt idx="52">
                  <c:v>87</c:v>
                </c:pt>
                <c:pt idx="53">
                  <c:v>93.3</c:v>
                </c:pt>
                <c:pt idx="54">
                  <c:v>91.9</c:v>
                </c:pt>
                <c:pt idx="55">
                  <c:v>100.3</c:v>
                </c:pt>
                <c:pt idx="56">
                  <c:v>125.8</c:v>
                </c:pt>
                <c:pt idx="57">
                  <c:v>142</c:v>
                </c:pt>
                <c:pt idx="58">
                  <c:v>106.1</c:v>
                </c:pt>
                <c:pt idx="59">
                  <c:v>68.2</c:v>
                </c:pt>
                <c:pt idx="60">
                  <c:v>94.3</c:v>
                </c:pt>
                <c:pt idx="61">
                  <c:v>100.5</c:v>
                </c:pt>
                <c:pt idx="62">
                  <c:v>68.900000000000006</c:v>
                </c:pt>
                <c:pt idx="63">
                  <c:v>65.3</c:v>
                </c:pt>
                <c:pt idx="64">
                  <c:v>47</c:v>
                </c:pt>
                <c:pt idx="65">
                  <c:v>65.400000000000006</c:v>
                </c:pt>
                <c:pt idx="66">
                  <c:v>87.3</c:v>
                </c:pt>
                <c:pt idx="67">
                  <c:v>81</c:v>
                </c:pt>
                <c:pt idx="68">
                  <c:v>82.7</c:v>
                </c:pt>
                <c:pt idx="69">
                  <c:v>94.1</c:v>
                </c:pt>
                <c:pt idx="70">
                  <c:v>104.6</c:v>
                </c:pt>
                <c:pt idx="71">
                  <c:v>140.6</c:v>
                </c:pt>
                <c:pt idx="72">
                  <c:v>140.5</c:v>
                </c:pt>
                <c:pt idx="73">
                  <c:v>186.2</c:v>
                </c:pt>
                <c:pt idx="74">
                  <c:v>187.7</c:v>
                </c:pt>
                <c:pt idx="75">
                  <c:v>176.8</c:v>
                </c:pt>
                <c:pt idx="76">
                  <c:v>162.6</c:v>
                </c:pt>
                <c:pt idx="77">
                  <c:v>209</c:v>
                </c:pt>
                <c:pt idx="78">
                  <c:v>193.1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8D6-41D5-BCE3-49CC31460D50}"/>
            </c:ext>
          </c:extLst>
        </c:ser>
        <c:ser>
          <c:idx val="1"/>
          <c:order val="1"/>
          <c:tx>
            <c:v>Maximum Pipe invert Level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'MAIN ROUTE'!$F$2:$F$80</c:f>
              <c:numCache>
                <c:formatCode>General</c:formatCode>
                <c:ptCount val="79"/>
                <c:pt idx="0">
                  <c:v>0</c:v>
                </c:pt>
                <c:pt idx="1">
                  <c:v>0.26750445912670062</c:v>
                </c:pt>
                <c:pt idx="2">
                  <c:v>0.44817898171090326</c:v>
                </c:pt>
                <c:pt idx="3">
                  <c:v>0.67799309022309617</c:v>
                </c:pt>
                <c:pt idx="4">
                  <c:v>1.1491217902994593</c:v>
                </c:pt>
                <c:pt idx="5">
                  <c:v>1.4556389129937735</c:v>
                </c:pt>
                <c:pt idx="6">
                  <c:v>2.0324058948031816</c:v>
                </c:pt>
                <c:pt idx="7">
                  <c:v>2.4980846000901136</c:v>
                </c:pt>
                <c:pt idx="8">
                  <c:v>3.0215539127321129</c:v>
                </c:pt>
                <c:pt idx="9">
                  <c:v>3.7734530957676613</c:v>
                </c:pt>
                <c:pt idx="10">
                  <c:v>4.3501214056206861</c:v>
                </c:pt>
                <c:pt idx="11">
                  <c:v>5.0272647532464694</c:v>
                </c:pt>
                <c:pt idx="12">
                  <c:v>5.2606371184421068</c:v>
                </c:pt>
                <c:pt idx="13">
                  <c:v>5.4305934002639003</c:v>
                </c:pt>
                <c:pt idx="14">
                  <c:v>5.7535231427068174</c:v>
                </c:pt>
                <c:pt idx="15">
                  <c:v>5.9490959338328331</c:v>
                </c:pt>
                <c:pt idx="16">
                  <c:v>6.4434587446160583</c:v>
                </c:pt>
                <c:pt idx="17">
                  <c:v>6.5740652626066964</c:v>
                </c:pt>
                <c:pt idx="18">
                  <c:v>7.0670504512366756</c:v>
                </c:pt>
                <c:pt idx="19">
                  <c:v>7.5654300871639286</c:v>
                </c:pt>
                <c:pt idx="20">
                  <c:v>7.7150185899288717</c:v>
                </c:pt>
                <c:pt idx="21">
                  <c:v>7.9018005674349618</c:v>
                </c:pt>
                <c:pt idx="22">
                  <c:v>8.2005820507752745</c:v>
                </c:pt>
                <c:pt idx="23">
                  <c:v>8.5467651614673503</c:v>
                </c:pt>
                <c:pt idx="24">
                  <c:v>8.8804455565690805</c:v>
                </c:pt>
                <c:pt idx="25">
                  <c:v>9.1246887405432222</c:v>
                </c:pt>
                <c:pt idx="26">
                  <c:v>9.4819619490777391</c:v>
                </c:pt>
                <c:pt idx="27">
                  <c:v>9.7788911944094643</c:v>
                </c:pt>
                <c:pt idx="28">
                  <c:v>10.105961413666913</c:v>
                </c:pt>
                <c:pt idx="29">
                  <c:v>10.542865738156337</c:v>
                </c:pt>
                <c:pt idx="30">
                  <c:v>11.300118477782217</c:v>
                </c:pt>
                <c:pt idx="31">
                  <c:v>11.462324349047668</c:v>
                </c:pt>
                <c:pt idx="32">
                  <c:v>11.687019557409752</c:v>
                </c:pt>
                <c:pt idx="33">
                  <c:v>12.598804063271693</c:v>
                </c:pt>
                <c:pt idx="34">
                  <c:v>13.079443671525079</c:v>
                </c:pt>
                <c:pt idx="35">
                  <c:v>13.203461703126955</c:v>
                </c:pt>
                <c:pt idx="36">
                  <c:v>13.737494209023463</c:v>
                </c:pt>
                <c:pt idx="37">
                  <c:v>13.987550695506553</c:v>
                </c:pt>
                <c:pt idx="38">
                  <c:v>14.678602697800457</c:v>
                </c:pt>
                <c:pt idx="39">
                  <c:v>15.330568547494446</c:v>
                </c:pt>
                <c:pt idx="40">
                  <c:v>16.046588507735539</c:v>
                </c:pt>
                <c:pt idx="41">
                  <c:v>16.650929597394043</c:v>
                </c:pt>
                <c:pt idx="42">
                  <c:v>17.040832659160948</c:v>
                </c:pt>
                <c:pt idx="43">
                  <c:v>17.885045418233272</c:v>
                </c:pt>
                <c:pt idx="44">
                  <c:v>18.400219349314998</c:v>
                </c:pt>
                <c:pt idx="45">
                  <c:v>19.183449140316956</c:v>
                </c:pt>
                <c:pt idx="46">
                  <c:v>20.2644582934496</c:v>
                </c:pt>
                <c:pt idx="47">
                  <c:v>21.519652986523337</c:v>
                </c:pt>
                <c:pt idx="48">
                  <c:v>22.0213105738144</c:v>
                </c:pt>
                <c:pt idx="49">
                  <c:v>23.486504738697885</c:v>
                </c:pt>
                <c:pt idx="50">
                  <c:v>24.115953610699826</c:v>
                </c:pt>
                <c:pt idx="51">
                  <c:v>25.191538727076427</c:v>
                </c:pt>
                <c:pt idx="52">
                  <c:v>26.048949540198983</c:v>
                </c:pt>
                <c:pt idx="53">
                  <c:v>27.080413150519657</c:v>
                </c:pt>
                <c:pt idx="54">
                  <c:v>27.978869961510647</c:v>
                </c:pt>
                <c:pt idx="55">
                  <c:v>28.920115920998089</c:v>
                </c:pt>
                <c:pt idx="56">
                  <c:v>29.405245899027683</c:v>
                </c:pt>
                <c:pt idx="57">
                  <c:v>30.107986329420115</c:v>
                </c:pt>
                <c:pt idx="58">
                  <c:v>31.357902915589463</c:v>
                </c:pt>
                <c:pt idx="59">
                  <c:v>32.459700589651405</c:v>
                </c:pt>
                <c:pt idx="60">
                  <c:v>33.673992053862513</c:v>
                </c:pt>
                <c:pt idx="61">
                  <c:v>34.687784901384752</c:v>
                </c:pt>
                <c:pt idx="62">
                  <c:v>35.559487792847875</c:v>
                </c:pt>
                <c:pt idx="63">
                  <c:v>36.662009088027276</c:v>
                </c:pt>
                <c:pt idx="64">
                  <c:v>37.806150202182593</c:v>
                </c:pt>
                <c:pt idx="65">
                  <c:v>39.142538564221852</c:v>
                </c:pt>
                <c:pt idx="66">
                  <c:v>40.036755254924373</c:v>
                </c:pt>
                <c:pt idx="67">
                  <c:v>40.149547737385859</c:v>
                </c:pt>
                <c:pt idx="68">
                  <c:v>40.851533720870506</c:v>
                </c:pt>
                <c:pt idx="69">
                  <c:v>41.603679476197343</c:v>
                </c:pt>
                <c:pt idx="70">
                  <c:v>42.024459718465543</c:v>
                </c:pt>
                <c:pt idx="71">
                  <c:v>42.82256284877684</c:v>
                </c:pt>
                <c:pt idx="72">
                  <c:v>43.433921717805063</c:v>
                </c:pt>
                <c:pt idx="73">
                  <c:v>44.045801348626917</c:v>
                </c:pt>
                <c:pt idx="74">
                  <c:v>44.437300225574731</c:v>
                </c:pt>
                <c:pt idx="75">
                  <c:v>44.926215023890421</c:v>
                </c:pt>
                <c:pt idx="76">
                  <c:v>45.530766851900147</c:v>
                </c:pt>
                <c:pt idx="77">
                  <c:v>46.039616307597839</c:v>
                </c:pt>
                <c:pt idx="78">
                  <c:v>46.284626840856035</c:v>
                </c:pt>
              </c:numCache>
            </c:numRef>
          </c:xVal>
          <c:yVal>
            <c:numRef>
              <c:f>'MAIN ROUTE'!$B$87:$B$165</c:f>
              <c:numCache>
                <c:formatCode>General</c:formatCode>
                <c:ptCount val="79"/>
                <c:pt idx="0">
                  <c:v>198.4</c:v>
                </c:pt>
                <c:pt idx="1">
                  <c:v>201</c:v>
                </c:pt>
                <c:pt idx="2">
                  <c:v>203.5</c:v>
                </c:pt>
                <c:pt idx="3">
                  <c:v>205.9</c:v>
                </c:pt>
                <c:pt idx="4">
                  <c:v>188.3</c:v>
                </c:pt>
                <c:pt idx="5">
                  <c:v>166.3</c:v>
                </c:pt>
                <c:pt idx="6">
                  <c:v>152</c:v>
                </c:pt>
                <c:pt idx="7">
                  <c:v>150.1</c:v>
                </c:pt>
                <c:pt idx="8">
                  <c:v>146</c:v>
                </c:pt>
                <c:pt idx="9">
                  <c:v>149</c:v>
                </c:pt>
                <c:pt idx="10">
                  <c:v>158.9</c:v>
                </c:pt>
                <c:pt idx="11">
                  <c:v>164</c:v>
                </c:pt>
                <c:pt idx="12">
                  <c:v>160.5</c:v>
                </c:pt>
                <c:pt idx="13">
                  <c:v>158</c:v>
                </c:pt>
                <c:pt idx="14">
                  <c:v>156</c:v>
                </c:pt>
                <c:pt idx="15">
                  <c:v>156.1</c:v>
                </c:pt>
                <c:pt idx="16">
                  <c:v>158.80000000000001</c:v>
                </c:pt>
                <c:pt idx="17">
                  <c:v>154</c:v>
                </c:pt>
                <c:pt idx="18">
                  <c:v>153</c:v>
                </c:pt>
                <c:pt idx="19">
                  <c:v>155.19999999999999</c:v>
                </c:pt>
                <c:pt idx="20">
                  <c:v>159</c:v>
                </c:pt>
                <c:pt idx="21">
                  <c:v>161</c:v>
                </c:pt>
                <c:pt idx="22">
                  <c:v>157.19999999999999</c:v>
                </c:pt>
                <c:pt idx="23">
                  <c:v>157.30000000000001</c:v>
                </c:pt>
                <c:pt idx="24">
                  <c:v>156.19999999999999</c:v>
                </c:pt>
                <c:pt idx="25">
                  <c:v>158</c:v>
                </c:pt>
                <c:pt idx="26">
                  <c:v>156.6</c:v>
                </c:pt>
                <c:pt idx="27">
                  <c:v>155.19999999999999</c:v>
                </c:pt>
                <c:pt idx="28">
                  <c:v>154.80000000000001</c:v>
                </c:pt>
                <c:pt idx="29">
                  <c:v>152.6</c:v>
                </c:pt>
                <c:pt idx="30">
                  <c:v>152.80000000000001</c:v>
                </c:pt>
                <c:pt idx="31">
                  <c:v>151.1</c:v>
                </c:pt>
                <c:pt idx="32">
                  <c:v>153.6</c:v>
                </c:pt>
                <c:pt idx="33">
                  <c:v>169.1</c:v>
                </c:pt>
                <c:pt idx="34">
                  <c:v>163.4</c:v>
                </c:pt>
                <c:pt idx="35">
                  <c:v>161.30000000000001</c:v>
                </c:pt>
                <c:pt idx="36">
                  <c:v>157.19999999999999</c:v>
                </c:pt>
                <c:pt idx="37">
                  <c:v>165</c:v>
                </c:pt>
                <c:pt idx="38">
                  <c:v>152.6</c:v>
                </c:pt>
                <c:pt idx="39">
                  <c:v>152.69999999999999</c:v>
                </c:pt>
                <c:pt idx="40">
                  <c:v>183.6</c:v>
                </c:pt>
                <c:pt idx="41">
                  <c:v>206.8</c:v>
                </c:pt>
                <c:pt idx="42">
                  <c:v>213.7</c:v>
                </c:pt>
                <c:pt idx="43">
                  <c:v>233.5</c:v>
                </c:pt>
                <c:pt idx="44">
                  <c:v>236.4</c:v>
                </c:pt>
                <c:pt idx="45">
                  <c:v>231.7</c:v>
                </c:pt>
                <c:pt idx="46">
                  <c:v>240.6</c:v>
                </c:pt>
                <c:pt idx="47">
                  <c:v>272.2</c:v>
                </c:pt>
                <c:pt idx="48">
                  <c:v>273</c:v>
                </c:pt>
                <c:pt idx="49">
                  <c:v>250</c:v>
                </c:pt>
                <c:pt idx="50">
                  <c:v>256.60000000000002</c:v>
                </c:pt>
                <c:pt idx="51">
                  <c:v>220.7</c:v>
                </c:pt>
                <c:pt idx="52">
                  <c:v>187</c:v>
                </c:pt>
                <c:pt idx="53">
                  <c:v>193.3</c:v>
                </c:pt>
                <c:pt idx="54">
                  <c:v>191.9</c:v>
                </c:pt>
                <c:pt idx="55">
                  <c:v>200.3</c:v>
                </c:pt>
                <c:pt idx="56">
                  <c:v>225.8</c:v>
                </c:pt>
                <c:pt idx="57">
                  <c:v>242</c:v>
                </c:pt>
                <c:pt idx="58">
                  <c:v>206.1</c:v>
                </c:pt>
                <c:pt idx="59">
                  <c:v>168.2</c:v>
                </c:pt>
                <c:pt idx="60">
                  <c:v>194.3</c:v>
                </c:pt>
                <c:pt idx="61">
                  <c:v>200.5</c:v>
                </c:pt>
                <c:pt idx="62">
                  <c:v>168.9</c:v>
                </c:pt>
                <c:pt idx="63">
                  <c:v>165.3</c:v>
                </c:pt>
                <c:pt idx="64">
                  <c:v>147</c:v>
                </c:pt>
                <c:pt idx="65">
                  <c:v>165.4</c:v>
                </c:pt>
                <c:pt idx="66">
                  <c:v>187.3</c:v>
                </c:pt>
                <c:pt idx="67">
                  <c:v>181</c:v>
                </c:pt>
                <c:pt idx="68">
                  <c:v>182.7</c:v>
                </c:pt>
                <c:pt idx="69">
                  <c:v>194.1</c:v>
                </c:pt>
                <c:pt idx="70">
                  <c:v>204.6</c:v>
                </c:pt>
                <c:pt idx="71">
                  <c:v>240.6</c:v>
                </c:pt>
                <c:pt idx="72">
                  <c:v>240.5</c:v>
                </c:pt>
                <c:pt idx="73">
                  <c:v>286.2</c:v>
                </c:pt>
                <c:pt idx="74">
                  <c:v>287.7</c:v>
                </c:pt>
                <c:pt idx="75">
                  <c:v>276.8</c:v>
                </c:pt>
                <c:pt idx="76">
                  <c:v>262.60000000000002</c:v>
                </c:pt>
                <c:pt idx="77">
                  <c:v>309</c:v>
                </c:pt>
                <c:pt idx="78">
                  <c:v>293.10000000000002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8D6-41D5-BCE3-49CC31460D50}"/>
            </c:ext>
          </c:extLst>
        </c:ser>
        <c:ser>
          <c:idx val="2"/>
          <c:order val="2"/>
          <c:tx>
            <c:v>Hydraulic Gradient 1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'MAIN ROUTE'!$F$2:$F$80</c:f>
              <c:numCache>
                <c:formatCode>General</c:formatCode>
                <c:ptCount val="79"/>
                <c:pt idx="0">
                  <c:v>0</c:v>
                </c:pt>
                <c:pt idx="1">
                  <c:v>0.26750445912670062</c:v>
                </c:pt>
                <c:pt idx="2">
                  <c:v>0.44817898171090326</c:v>
                </c:pt>
                <c:pt idx="3">
                  <c:v>0.67799309022309617</c:v>
                </c:pt>
                <c:pt idx="4">
                  <c:v>1.1491217902994593</c:v>
                </c:pt>
                <c:pt idx="5">
                  <c:v>1.4556389129937735</c:v>
                </c:pt>
                <c:pt idx="6">
                  <c:v>2.0324058948031816</c:v>
                </c:pt>
                <c:pt idx="7">
                  <c:v>2.4980846000901136</c:v>
                </c:pt>
                <c:pt idx="8">
                  <c:v>3.0215539127321129</c:v>
                </c:pt>
                <c:pt idx="9">
                  <c:v>3.7734530957676613</c:v>
                </c:pt>
                <c:pt idx="10">
                  <c:v>4.3501214056206861</c:v>
                </c:pt>
                <c:pt idx="11">
                  <c:v>5.0272647532464694</c:v>
                </c:pt>
                <c:pt idx="12">
                  <c:v>5.2606371184421068</c:v>
                </c:pt>
                <c:pt idx="13">
                  <c:v>5.4305934002639003</c:v>
                </c:pt>
                <c:pt idx="14">
                  <c:v>5.7535231427068174</c:v>
                </c:pt>
                <c:pt idx="15">
                  <c:v>5.9490959338328331</c:v>
                </c:pt>
                <c:pt idx="16">
                  <c:v>6.4434587446160583</c:v>
                </c:pt>
                <c:pt idx="17">
                  <c:v>6.5740652626066964</c:v>
                </c:pt>
                <c:pt idx="18">
                  <c:v>7.0670504512366756</c:v>
                </c:pt>
                <c:pt idx="19">
                  <c:v>7.5654300871639286</c:v>
                </c:pt>
                <c:pt idx="20">
                  <c:v>7.7150185899288717</c:v>
                </c:pt>
                <c:pt idx="21">
                  <c:v>7.9018005674349618</c:v>
                </c:pt>
                <c:pt idx="22">
                  <c:v>8.2005820507752745</c:v>
                </c:pt>
                <c:pt idx="23">
                  <c:v>8.5467651614673503</c:v>
                </c:pt>
                <c:pt idx="24">
                  <c:v>8.8804455565690805</c:v>
                </c:pt>
                <c:pt idx="25">
                  <c:v>9.1246887405432222</c:v>
                </c:pt>
                <c:pt idx="26">
                  <c:v>9.4819619490777391</c:v>
                </c:pt>
                <c:pt idx="27">
                  <c:v>9.7788911944094643</c:v>
                </c:pt>
                <c:pt idx="28">
                  <c:v>10.105961413666913</c:v>
                </c:pt>
                <c:pt idx="29">
                  <c:v>10.542865738156337</c:v>
                </c:pt>
                <c:pt idx="30">
                  <c:v>11.300118477782217</c:v>
                </c:pt>
                <c:pt idx="31">
                  <c:v>11.462324349047668</c:v>
                </c:pt>
                <c:pt idx="32">
                  <c:v>11.687019557409752</c:v>
                </c:pt>
                <c:pt idx="33">
                  <c:v>12.598804063271693</c:v>
                </c:pt>
                <c:pt idx="34">
                  <c:v>13.079443671525079</c:v>
                </c:pt>
                <c:pt idx="35">
                  <c:v>13.203461703126955</c:v>
                </c:pt>
                <c:pt idx="36">
                  <c:v>13.737494209023463</c:v>
                </c:pt>
                <c:pt idx="37">
                  <c:v>13.987550695506553</c:v>
                </c:pt>
                <c:pt idx="38">
                  <c:v>14.678602697800457</c:v>
                </c:pt>
                <c:pt idx="39">
                  <c:v>15.330568547494446</c:v>
                </c:pt>
                <c:pt idx="40">
                  <c:v>16.046588507735539</c:v>
                </c:pt>
                <c:pt idx="41">
                  <c:v>16.650929597394043</c:v>
                </c:pt>
                <c:pt idx="42">
                  <c:v>17.040832659160948</c:v>
                </c:pt>
                <c:pt idx="43">
                  <c:v>17.885045418233272</c:v>
                </c:pt>
                <c:pt idx="44">
                  <c:v>18.400219349314998</c:v>
                </c:pt>
                <c:pt idx="45">
                  <c:v>19.183449140316956</c:v>
                </c:pt>
                <c:pt idx="46">
                  <c:v>20.2644582934496</c:v>
                </c:pt>
                <c:pt idx="47">
                  <c:v>21.519652986523337</c:v>
                </c:pt>
                <c:pt idx="48">
                  <c:v>22.0213105738144</c:v>
                </c:pt>
                <c:pt idx="49">
                  <c:v>23.486504738697885</c:v>
                </c:pt>
                <c:pt idx="50">
                  <c:v>24.115953610699826</c:v>
                </c:pt>
                <c:pt idx="51">
                  <c:v>25.191538727076427</c:v>
                </c:pt>
                <c:pt idx="52">
                  <c:v>26.048949540198983</c:v>
                </c:pt>
                <c:pt idx="53">
                  <c:v>27.080413150519657</c:v>
                </c:pt>
                <c:pt idx="54">
                  <c:v>27.978869961510647</c:v>
                </c:pt>
                <c:pt idx="55">
                  <c:v>28.920115920998089</c:v>
                </c:pt>
                <c:pt idx="56">
                  <c:v>29.405245899027683</c:v>
                </c:pt>
                <c:pt idx="57">
                  <c:v>30.107986329420115</c:v>
                </c:pt>
                <c:pt idx="58">
                  <c:v>31.357902915589463</c:v>
                </c:pt>
                <c:pt idx="59">
                  <c:v>32.459700589651405</c:v>
                </c:pt>
                <c:pt idx="60">
                  <c:v>33.673992053862513</c:v>
                </c:pt>
                <c:pt idx="61">
                  <c:v>34.687784901384752</c:v>
                </c:pt>
                <c:pt idx="62">
                  <c:v>35.559487792847875</c:v>
                </c:pt>
                <c:pt idx="63">
                  <c:v>36.662009088027276</c:v>
                </c:pt>
                <c:pt idx="64">
                  <c:v>37.806150202182593</c:v>
                </c:pt>
                <c:pt idx="65">
                  <c:v>39.142538564221852</c:v>
                </c:pt>
                <c:pt idx="66">
                  <c:v>40.036755254924373</c:v>
                </c:pt>
                <c:pt idx="67">
                  <c:v>40.149547737385859</c:v>
                </c:pt>
                <c:pt idx="68">
                  <c:v>40.851533720870506</c:v>
                </c:pt>
                <c:pt idx="69">
                  <c:v>41.603679476197343</c:v>
                </c:pt>
                <c:pt idx="70">
                  <c:v>42.024459718465543</c:v>
                </c:pt>
                <c:pt idx="71">
                  <c:v>42.82256284877684</c:v>
                </c:pt>
                <c:pt idx="72">
                  <c:v>43.433921717805063</c:v>
                </c:pt>
                <c:pt idx="73">
                  <c:v>44.045801348626917</c:v>
                </c:pt>
                <c:pt idx="74">
                  <c:v>44.437300225574731</c:v>
                </c:pt>
                <c:pt idx="75">
                  <c:v>44.926215023890421</c:v>
                </c:pt>
                <c:pt idx="76">
                  <c:v>45.530766851900147</c:v>
                </c:pt>
                <c:pt idx="77">
                  <c:v>46.039616307597839</c:v>
                </c:pt>
                <c:pt idx="78">
                  <c:v>46.284626840856035</c:v>
                </c:pt>
              </c:numCache>
            </c:numRef>
          </c:xVal>
          <c:yVal>
            <c:numRef>
              <c:f>'MAIN ROUTE'!$C$87:$C$129</c:f>
              <c:numCache>
                <c:formatCode>General</c:formatCode>
                <c:ptCount val="43"/>
                <c:pt idx="0">
                  <c:v>148.4</c:v>
                </c:pt>
                <c:pt idx="1">
                  <c:v>147.94256737489334</c:v>
                </c:pt>
                <c:pt idx="2">
                  <c:v>147.63361394127435</c:v>
                </c:pt>
                <c:pt idx="3">
                  <c:v>147.2406318157185</c:v>
                </c:pt>
                <c:pt idx="4">
                  <c:v>146.43500173858794</c:v>
                </c:pt>
                <c:pt idx="5">
                  <c:v>145.91085745878064</c:v>
                </c:pt>
                <c:pt idx="6">
                  <c:v>144.92458591988657</c:v>
                </c:pt>
                <c:pt idx="7">
                  <c:v>144.12827533384592</c:v>
                </c:pt>
                <c:pt idx="8">
                  <c:v>143.2331428092281</c:v>
                </c:pt>
                <c:pt idx="9">
                  <c:v>141.9473952062373</c:v>
                </c:pt>
                <c:pt idx="10">
                  <c:v>140.96129239638864</c:v>
                </c:pt>
                <c:pt idx="11">
                  <c:v>139.80337727194853</c:v>
                </c:pt>
                <c:pt idx="12">
                  <c:v>139.40431052746399</c:v>
                </c:pt>
                <c:pt idx="13">
                  <c:v>139.11368528554874</c:v>
                </c:pt>
                <c:pt idx="14">
                  <c:v>138.56147542597134</c:v>
                </c:pt>
                <c:pt idx="15">
                  <c:v>138.22704595314588</c:v>
                </c:pt>
                <c:pt idx="16">
                  <c:v>137.38168554670654</c:v>
                </c:pt>
                <c:pt idx="17">
                  <c:v>137.15834840094254</c:v>
                </c:pt>
                <c:pt idx="18">
                  <c:v>136.3153437283853</c:v>
                </c:pt>
                <c:pt idx="19">
                  <c:v>135.46311455094968</c:v>
                </c:pt>
                <c:pt idx="20">
                  <c:v>135.20731821122163</c:v>
                </c:pt>
                <c:pt idx="21">
                  <c:v>134.88792102968623</c:v>
                </c:pt>
                <c:pt idx="22">
                  <c:v>134.37700469317429</c:v>
                </c:pt>
                <c:pt idx="23">
                  <c:v>133.78503157389085</c:v>
                </c:pt>
                <c:pt idx="24">
                  <c:v>133.21443809826687</c:v>
                </c:pt>
                <c:pt idx="25">
                  <c:v>132.7967822536711</c:v>
                </c:pt>
                <c:pt idx="26">
                  <c:v>132.18584506707708</c:v>
                </c:pt>
                <c:pt idx="27">
                  <c:v>131.67809605755983</c:v>
                </c:pt>
                <c:pt idx="28">
                  <c:v>131.1188059826296</c:v>
                </c:pt>
                <c:pt idx="29">
                  <c:v>130.37169958775269</c:v>
                </c:pt>
                <c:pt idx="30">
                  <c:v>129.07679740299241</c:v>
                </c:pt>
                <c:pt idx="31">
                  <c:v>128.79942536312848</c:v>
                </c:pt>
                <c:pt idx="32">
                  <c:v>128.41519655682933</c:v>
                </c:pt>
                <c:pt idx="33">
                  <c:v>126.85604505180541</c:v>
                </c:pt>
                <c:pt idx="34">
                  <c:v>126.03415132169212</c:v>
                </c:pt>
                <c:pt idx="35">
                  <c:v>125.82208048765291</c:v>
                </c:pt>
                <c:pt idx="36">
                  <c:v>124.90888490256988</c:v>
                </c:pt>
                <c:pt idx="37">
                  <c:v>124.48128831068379</c:v>
                </c:pt>
                <c:pt idx="38">
                  <c:v>123.29958938676123</c:v>
                </c:pt>
                <c:pt idx="39">
                  <c:v>122.1847277837845</c:v>
                </c:pt>
                <c:pt idx="40">
                  <c:v>120.96033365177223</c:v>
                </c:pt>
                <c:pt idx="41">
                  <c:v>119.92691038845619</c:v>
                </c:pt>
                <c:pt idx="42">
                  <c:v>119.26017615283479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8D6-41D5-BCE3-49CC31460D50}"/>
            </c:ext>
          </c:extLst>
        </c:ser>
        <c:ser>
          <c:idx val="3"/>
          <c:order val="3"/>
          <c:tx>
            <c:v>Hydraulic Gradient 2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'MAIN ROUTE'!$F$44:$F$80</c:f>
              <c:numCache>
                <c:formatCode>General</c:formatCode>
                <c:ptCount val="37"/>
                <c:pt idx="0">
                  <c:v>17.040832659160948</c:v>
                </c:pt>
                <c:pt idx="1">
                  <c:v>17.885045418233272</c:v>
                </c:pt>
                <c:pt idx="2">
                  <c:v>18.400219349314998</c:v>
                </c:pt>
                <c:pt idx="3">
                  <c:v>19.183449140316956</c:v>
                </c:pt>
                <c:pt idx="4">
                  <c:v>20.2644582934496</c:v>
                </c:pt>
                <c:pt idx="5">
                  <c:v>21.519652986523337</c:v>
                </c:pt>
                <c:pt idx="6">
                  <c:v>22.0213105738144</c:v>
                </c:pt>
                <c:pt idx="7">
                  <c:v>23.486504738697885</c:v>
                </c:pt>
                <c:pt idx="8">
                  <c:v>24.115953610699826</c:v>
                </c:pt>
                <c:pt idx="9">
                  <c:v>25.191538727076427</c:v>
                </c:pt>
                <c:pt idx="10">
                  <c:v>26.048949540198983</c:v>
                </c:pt>
                <c:pt idx="11">
                  <c:v>27.080413150519657</c:v>
                </c:pt>
                <c:pt idx="12">
                  <c:v>27.978869961510647</c:v>
                </c:pt>
                <c:pt idx="13">
                  <c:v>28.920115920998089</c:v>
                </c:pt>
                <c:pt idx="14">
                  <c:v>29.405245899027683</c:v>
                </c:pt>
                <c:pt idx="15">
                  <c:v>30.107986329420115</c:v>
                </c:pt>
                <c:pt idx="16">
                  <c:v>31.357902915589463</c:v>
                </c:pt>
                <c:pt idx="17">
                  <c:v>32.459700589651405</c:v>
                </c:pt>
                <c:pt idx="18">
                  <c:v>33.673992053862513</c:v>
                </c:pt>
                <c:pt idx="19">
                  <c:v>34.687784901384752</c:v>
                </c:pt>
                <c:pt idx="20">
                  <c:v>35.559487792847875</c:v>
                </c:pt>
                <c:pt idx="21">
                  <c:v>36.662009088027276</c:v>
                </c:pt>
                <c:pt idx="22">
                  <c:v>37.806150202182593</c:v>
                </c:pt>
                <c:pt idx="23">
                  <c:v>39.142538564221852</c:v>
                </c:pt>
                <c:pt idx="24">
                  <c:v>40.036755254924373</c:v>
                </c:pt>
                <c:pt idx="25">
                  <c:v>40.149547737385859</c:v>
                </c:pt>
                <c:pt idx="26">
                  <c:v>40.851533720870506</c:v>
                </c:pt>
                <c:pt idx="27">
                  <c:v>41.603679476197343</c:v>
                </c:pt>
                <c:pt idx="28">
                  <c:v>42.024459718465543</c:v>
                </c:pt>
                <c:pt idx="29">
                  <c:v>42.82256284877684</c:v>
                </c:pt>
                <c:pt idx="30">
                  <c:v>43.433921717805063</c:v>
                </c:pt>
                <c:pt idx="31">
                  <c:v>44.045801348626917</c:v>
                </c:pt>
                <c:pt idx="32">
                  <c:v>44.437300225574731</c:v>
                </c:pt>
                <c:pt idx="33">
                  <c:v>44.926215023890421</c:v>
                </c:pt>
                <c:pt idx="34">
                  <c:v>45.530766851900147</c:v>
                </c:pt>
                <c:pt idx="35">
                  <c:v>46.039616307597839</c:v>
                </c:pt>
                <c:pt idx="36">
                  <c:v>46.284626840856035</c:v>
                </c:pt>
              </c:numCache>
            </c:numRef>
          </c:xVal>
          <c:yVal>
            <c:numRef>
              <c:f>'MAIN ROUTE'!$D$129:$D$159</c:f>
              <c:numCache>
                <c:formatCode>General</c:formatCode>
                <c:ptCount val="31"/>
                <c:pt idx="0">
                  <c:v>179.26017615283479</c:v>
                </c:pt>
                <c:pt idx="1">
                  <c:v>178.80274352772813</c:v>
                </c:pt>
                <c:pt idx="2">
                  <c:v>178.49379009410913</c:v>
                </c:pt>
                <c:pt idx="3">
                  <c:v>178.10080796855328</c:v>
                </c:pt>
                <c:pt idx="4">
                  <c:v>177.29517789142272</c:v>
                </c:pt>
                <c:pt idx="5">
                  <c:v>176.77103361161542</c:v>
                </c:pt>
                <c:pt idx="6">
                  <c:v>175.78476207272135</c:v>
                </c:pt>
                <c:pt idx="7">
                  <c:v>174.9884514866807</c:v>
                </c:pt>
                <c:pt idx="8">
                  <c:v>174.09331896206288</c:v>
                </c:pt>
                <c:pt idx="9">
                  <c:v>172.80757135907209</c:v>
                </c:pt>
                <c:pt idx="10">
                  <c:v>171.82146854922343</c:v>
                </c:pt>
                <c:pt idx="11">
                  <c:v>170.66355342478332</c:v>
                </c:pt>
                <c:pt idx="12">
                  <c:v>170.26448668029877</c:v>
                </c:pt>
                <c:pt idx="13">
                  <c:v>169.97386143838352</c:v>
                </c:pt>
                <c:pt idx="14">
                  <c:v>169.42165157880612</c:v>
                </c:pt>
                <c:pt idx="15">
                  <c:v>169.08722210598063</c:v>
                </c:pt>
                <c:pt idx="16">
                  <c:v>168.24186169954132</c:v>
                </c:pt>
                <c:pt idx="17">
                  <c:v>168.01852455377733</c:v>
                </c:pt>
                <c:pt idx="18">
                  <c:v>167.17551988122008</c:v>
                </c:pt>
                <c:pt idx="19">
                  <c:v>166.32329070378447</c:v>
                </c:pt>
                <c:pt idx="20">
                  <c:v>166.06749436405642</c:v>
                </c:pt>
                <c:pt idx="21">
                  <c:v>165.74809718252101</c:v>
                </c:pt>
                <c:pt idx="22">
                  <c:v>165.23718084600907</c:v>
                </c:pt>
                <c:pt idx="23">
                  <c:v>164.64520772672563</c:v>
                </c:pt>
                <c:pt idx="24">
                  <c:v>164.07461425110165</c:v>
                </c:pt>
                <c:pt idx="25">
                  <c:v>163.65695840650588</c:v>
                </c:pt>
                <c:pt idx="26">
                  <c:v>163.04602121991186</c:v>
                </c:pt>
                <c:pt idx="27">
                  <c:v>162.53827221039461</c:v>
                </c:pt>
                <c:pt idx="28">
                  <c:v>161.97898213546438</c:v>
                </c:pt>
                <c:pt idx="29">
                  <c:v>161.23187574058744</c:v>
                </c:pt>
                <c:pt idx="30">
                  <c:v>159.93697355582719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0E6-4548-A41C-7DD8743FF8B3}"/>
            </c:ext>
          </c:extLst>
        </c:ser>
        <c:ser>
          <c:idx val="4"/>
          <c:order val="4"/>
          <c:tx>
            <c:v>Hydraulic Gradient 3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'MAIN ROUTE'!$F$74:$F$80</c:f>
              <c:numCache>
                <c:formatCode>General</c:formatCode>
                <c:ptCount val="7"/>
                <c:pt idx="0">
                  <c:v>43.433921717805063</c:v>
                </c:pt>
                <c:pt idx="1">
                  <c:v>44.045801348626917</c:v>
                </c:pt>
                <c:pt idx="2">
                  <c:v>44.437300225574731</c:v>
                </c:pt>
                <c:pt idx="3">
                  <c:v>44.926215023890421</c:v>
                </c:pt>
                <c:pt idx="4">
                  <c:v>45.530766851900147</c:v>
                </c:pt>
                <c:pt idx="5">
                  <c:v>46.039616307597839</c:v>
                </c:pt>
                <c:pt idx="6">
                  <c:v>46.284626840856035</c:v>
                </c:pt>
              </c:numCache>
            </c:numRef>
          </c:xVal>
          <c:yVal>
            <c:numRef>
              <c:f>'MAIN ROUTE'!$E$159:$E$165</c:f>
              <c:numCache>
                <c:formatCode>General</c:formatCode>
                <c:ptCount val="7"/>
                <c:pt idx="0">
                  <c:v>219.93697355582719</c:v>
                </c:pt>
                <c:pt idx="1">
                  <c:v>219.47954093072053</c:v>
                </c:pt>
                <c:pt idx="2">
                  <c:v>219.17058749710154</c:v>
                </c:pt>
                <c:pt idx="3">
                  <c:v>218.77760537154569</c:v>
                </c:pt>
                <c:pt idx="4">
                  <c:v>217.97197529441513</c:v>
                </c:pt>
                <c:pt idx="5">
                  <c:v>217.44783101460783</c:v>
                </c:pt>
                <c:pt idx="6">
                  <c:v>216.46155947571376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0E6-4548-A41C-7DD8743FF8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796288"/>
        <c:axId val="90671568"/>
      </c:scatterChart>
      <c:valAx>
        <c:axId val="90796288"/>
        <c:scaling>
          <c:orientation val="minMax"/>
          <c:max val="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Chainage (km)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N"/>
          </a:p>
        </c:txPr>
        <c:crossAx val="90671568"/>
        <c:crosses val="autoZero"/>
        <c:crossBetween val="midCat"/>
      </c:valAx>
      <c:valAx>
        <c:axId val="90671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Height (m)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N"/>
          </a:p>
        </c:txPr>
        <c:crossAx val="9079628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N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Hydraulic Profile (PN16 630 mm) (Moody)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Pipe Invert Level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'MAIN ROUTE'!$F$2:$F$80</c:f>
              <c:numCache>
                <c:formatCode>General</c:formatCode>
                <c:ptCount val="79"/>
                <c:pt idx="0">
                  <c:v>0</c:v>
                </c:pt>
                <c:pt idx="1">
                  <c:v>0.26750445912670062</c:v>
                </c:pt>
                <c:pt idx="2">
                  <c:v>0.44817898171090326</c:v>
                </c:pt>
                <c:pt idx="3">
                  <c:v>0.67799309022309617</c:v>
                </c:pt>
                <c:pt idx="4">
                  <c:v>1.1491217902994593</c:v>
                </c:pt>
                <c:pt idx="5">
                  <c:v>1.4556389129937735</c:v>
                </c:pt>
                <c:pt idx="6">
                  <c:v>2.0324058948031816</c:v>
                </c:pt>
                <c:pt idx="7">
                  <c:v>2.4980846000901136</c:v>
                </c:pt>
                <c:pt idx="8">
                  <c:v>3.0215539127321129</c:v>
                </c:pt>
                <c:pt idx="9">
                  <c:v>3.7734530957676613</c:v>
                </c:pt>
                <c:pt idx="10">
                  <c:v>4.3501214056206861</c:v>
                </c:pt>
                <c:pt idx="11">
                  <c:v>5.0272647532464694</c:v>
                </c:pt>
                <c:pt idx="12">
                  <c:v>5.2606371184421068</c:v>
                </c:pt>
                <c:pt idx="13">
                  <c:v>5.4305934002639003</c:v>
                </c:pt>
                <c:pt idx="14">
                  <c:v>5.7535231427068174</c:v>
                </c:pt>
                <c:pt idx="15">
                  <c:v>5.9490959338328331</c:v>
                </c:pt>
                <c:pt idx="16">
                  <c:v>6.4434587446160583</c:v>
                </c:pt>
                <c:pt idx="17">
                  <c:v>6.5740652626066964</c:v>
                </c:pt>
                <c:pt idx="18">
                  <c:v>7.0670504512366756</c:v>
                </c:pt>
                <c:pt idx="19">
                  <c:v>7.5654300871639286</c:v>
                </c:pt>
                <c:pt idx="20">
                  <c:v>7.7150185899288717</c:v>
                </c:pt>
                <c:pt idx="21">
                  <c:v>7.9018005674349618</c:v>
                </c:pt>
                <c:pt idx="22">
                  <c:v>8.2005820507752745</c:v>
                </c:pt>
                <c:pt idx="23">
                  <c:v>8.5467651614673503</c:v>
                </c:pt>
                <c:pt idx="24">
                  <c:v>8.8804455565690805</c:v>
                </c:pt>
                <c:pt idx="25">
                  <c:v>9.1246887405432222</c:v>
                </c:pt>
                <c:pt idx="26">
                  <c:v>9.4819619490777391</c:v>
                </c:pt>
                <c:pt idx="27">
                  <c:v>9.7788911944094643</c:v>
                </c:pt>
                <c:pt idx="28">
                  <c:v>10.105961413666913</c:v>
                </c:pt>
                <c:pt idx="29">
                  <c:v>10.542865738156337</c:v>
                </c:pt>
                <c:pt idx="30">
                  <c:v>11.300118477782217</c:v>
                </c:pt>
                <c:pt idx="31">
                  <c:v>11.462324349047668</c:v>
                </c:pt>
                <c:pt idx="32">
                  <c:v>11.687019557409752</c:v>
                </c:pt>
                <c:pt idx="33">
                  <c:v>12.598804063271693</c:v>
                </c:pt>
                <c:pt idx="34">
                  <c:v>13.079443671525079</c:v>
                </c:pt>
                <c:pt idx="35">
                  <c:v>13.203461703126955</c:v>
                </c:pt>
                <c:pt idx="36">
                  <c:v>13.737494209023463</c:v>
                </c:pt>
                <c:pt idx="37">
                  <c:v>13.987550695506553</c:v>
                </c:pt>
                <c:pt idx="38">
                  <c:v>14.678602697800457</c:v>
                </c:pt>
                <c:pt idx="39">
                  <c:v>15.330568547494446</c:v>
                </c:pt>
                <c:pt idx="40">
                  <c:v>16.046588507735539</c:v>
                </c:pt>
                <c:pt idx="41">
                  <c:v>16.650929597394043</c:v>
                </c:pt>
                <c:pt idx="42">
                  <c:v>17.040832659160948</c:v>
                </c:pt>
                <c:pt idx="43">
                  <c:v>17.885045418233272</c:v>
                </c:pt>
                <c:pt idx="44">
                  <c:v>18.400219349314998</c:v>
                </c:pt>
                <c:pt idx="45">
                  <c:v>19.183449140316956</c:v>
                </c:pt>
                <c:pt idx="46">
                  <c:v>20.2644582934496</c:v>
                </c:pt>
                <c:pt idx="47">
                  <c:v>21.519652986523337</c:v>
                </c:pt>
                <c:pt idx="48">
                  <c:v>22.0213105738144</c:v>
                </c:pt>
                <c:pt idx="49">
                  <c:v>23.486504738697885</c:v>
                </c:pt>
                <c:pt idx="50">
                  <c:v>24.115953610699826</c:v>
                </c:pt>
                <c:pt idx="51">
                  <c:v>25.191538727076427</c:v>
                </c:pt>
                <c:pt idx="52">
                  <c:v>26.048949540198983</c:v>
                </c:pt>
                <c:pt idx="53">
                  <c:v>27.080413150519657</c:v>
                </c:pt>
                <c:pt idx="54">
                  <c:v>27.978869961510647</c:v>
                </c:pt>
                <c:pt idx="55">
                  <c:v>28.920115920998089</c:v>
                </c:pt>
                <c:pt idx="56">
                  <c:v>29.405245899027683</c:v>
                </c:pt>
                <c:pt idx="57">
                  <c:v>30.107986329420115</c:v>
                </c:pt>
                <c:pt idx="58">
                  <c:v>31.357902915589463</c:v>
                </c:pt>
                <c:pt idx="59">
                  <c:v>32.459700589651405</c:v>
                </c:pt>
                <c:pt idx="60">
                  <c:v>33.673992053862513</c:v>
                </c:pt>
                <c:pt idx="61">
                  <c:v>34.687784901384752</c:v>
                </c:pt>
                <c:pt idx="62">
                  <c:v>35.559487792847875</c:v>
                </c:pt>
                <c:pt idx="63">
                  <c:v>36.662009088027276</c:v>
                </c:pt>
                <c:pt idx="64">
                  <c:v>37.806150202182593</c:v>
                </c:pt>
                <c:pt idx="65">
                  <c:v>39.142538564221852</c:v>
                </c:pt>
                <c:pt idx="66">
                  <c:v>40.036755254924373</c:v>
                </c:pt>
                <c:pt idx="67">
                  <c:v>40.149547737385859</c:v>
                </c:pt>
                <c:pt idx="68">
                  <c:v>40.851533720870506</c:v>
                </c:pt>
                <c:pt idx="69">
                  <c:v>41.603679476197343</c:v>
                </c:pt>
                <c:pt idx="70">
                  <c:v>42.024459718465543</c:v>
                </c:pt>
                <c:pt idx="71">
                  <c:v>42.82256284877684</c:v>
                </c:pt>
                <c:pt idx="72">
                  <c:v>43.433921717805063</c:v>
                </c:pt>
                <c:pt idx="73">
                  <c:v>44.045801348626917</c:v>
                </c:pt>
                <c:pt idx="74">
                  <c:v>44.437300225574731</c:v>
                </c:pt>
                <c:pt idx="75">
                  <c:v>44.926215023890421</c:v>
                </c:pt>
                <c:pt idx="76">
                  <c:v>45.530766851900147</c:v>
                </c:pt>
                <c:pt idx="77">
                  <c:v>46.039616307597839</c:v>
                </c:pt>
                <c:pt idx="78">
                  <c:v>46.284626840856035</c:v>
                </c:pt>
              </c:numCache>
            </c:numRef>
          </c:xVal>
          <c:yVal>
            <c:numRef>
              <c:f>'MAIN ROUTE'!$C$2:$C$80</c:f>
              <c:numCache>
                <c:formatCode>General</c:formatCode>
                <c:ptCount val="79"/>
                <c:pt idx="0">
                  <c:v>98.4</c:v>
                </c:pt>
                <c:pt idx="1">
                  <c:v>101</c:v>
                </c:pt>
                <c:pt idx="2">
                  <c:v>103.5</c:v>
                </c:pt>
                <c:pt idx="3">
                  <c:v>105.9</c:v>
                </c:pt>
                <c:pt idx="4">
                  <c:v>88.3</c:v>
                </c:pt>
                <c:pt idx="5">
                  <c:v>66.3</c:v>
                </c:pt>
                <c:pt idx="6">
                  <c:v>52</c:v>
                </c:pt>
                <c:pt idx="7">
                  <c:v>50.1</c:v>
                </c:pt>
                <c:pt idx="8">
                  <c:v>46</c:v>
                </c:pt>
                <c:pt idx="9">
                  <c:v>49</c:v>
                </c:pt>
                <c:pt idx="10">
                  <c:v>58.9</c:v>
                </c:pt>
                <c:pt idx="11">
                  <c:v>64</c:v>
                </c:pt>
                <c:pt idx="12">
                  <c:v>60.5</c:v>
                </c:pt>
                <c:pt idx="13">
                  <c:v>58</c:v>
                </c:pt>
                <c:pt idx="14">
                  <c:v>56</c:v>
                </c:pt>
                <c:pt idx="15">
                  <c:v>56.1</c:v>
                </c:pt>
                <c:pt idx="16">
                  <c:v>58.8</c:v>
                </c:pt>
                <c:pt idx="17">
                  <c:v>54</c:v>
                </c:pt>
                <c:pt idx="18">
                  <c:v>53</c:v>
                </c:pt>
                <c:pt idx="19">
                  <c:v>55.2</c:v>
                </c:pt>
                <c:pt idx="20">
                  <c:v>59</c:v>
                </c:pt>
                <c:pt idx="21">
                  <c:v>61</c:v>
                </c:pt>
                <c:pt idx="22">
                  <c:v>57.2</c:v>
                </c:pt>
                <c:pt idx="23">
                  <c:v>57.3</c:v>
                </c:pt>
                <c:pt idx="24">
                  <c:v>56.2</c:v>
                </c:pt>
                <c:pt idx="25">
                  <c:v>58</c:v>
                </c:pt>
                <c:pt idx="26">
                  <c:v>56.6</c:v>
                </c:pt>
                <c:pt idx="27">
                  <c:v>55.2</c:v>
                </c:pt>
                <c:pt idx="28">
                  <c:v>54.8</c:v>
                </c:pt>
                <c:pt idx="29">
                  <c:v>52.6</c:v>
                </c:pt>
                <c:pt idx="30">
                  <c:v>52.8</c:v>
                </c:pt>
                <c:pt idx="31">
                  <c:v>51.1</c:v>
                </c:pt>
                <c:pt idx="32">
                  <c:v>53.6</c:v>
                </c:pt>
                <c:pt idx="33">
                  <c:v>69.099999999999994</c:v>
                </c:pt>
                <c:pt idx="34">
                  <c:v>63.4</c:v>
                </c:pt>
                <c:pt idx="35">
                  <c:v>61.3</c:v>
                </c:pt>
                <c:pt idx="36">
                  <c:v>57.2</c:v>
                </c:pt>
                <c:pt idx="37">
                  <c:v>65</c:v>
                </c:pt>
                <c:pt idx="38">
                  <c:v>52.6</c:v>
                </c:pt>
                <c:pt idx="39">
                  <c:v>52.7</c:v>
                </c:pt>
                <c:pt idx="40">
                  <c:v>83.6</c:v>
                </c:pt>
                <c:pt idx="41">
                  <c:v>106.8</c:v>
                </c:pt>
                <c:pt idx="42">
                  <c:v>113.7</c:v>
                </c:pt>
                <c:pt idx="43">
                  <c:v>133.5</c:v>
                </c:pt>
                <c:pt idx="44">
                  <c:v>136.4</c:v>
                </c:pt>
                <c:pt idx="45">
                  <c:v>131.69999999999999</c:v>
                </c:pt>
                <c:pt idx="46">
                  <c:v>140.6</c:v>
                </c:pt>
                <c:pt idx="47">
                  <c:v>172.2</c:v>
                </c:pt>
                <c:pt idx="48">
                  <c:v>173</c:v>
                </c:pt>
                <c:pt idx="49">
                  <c:v>150</c:v>
                </c:pt>
                <c:pt idx="50">
                  <c:v>156.6</c:v>
                </c:pt>
                <c:pt idx="51">
                  <c:v>120.7</c:v>
                </c:pt>
                <c:pt idx="52">
                  <c:v>87</c:v>
                </c:pt>
                <c:pt idx="53">
                  <c:v>93.3</c:v>
                </c:pt>
                <c:pt idx="54">
                  <c:v>91.9</c:v>
                </c:pt>
                <c:pt idx="55">
                  <c:v>100.3</c:v>
                </c:pt>
                <c:pt idx="56">
                  <c:v>125.8</c:v>
                </c:pt>
                <c:pt idx="57">
                  <c:v>142</c:v>
                </c:pt>
                <c:pt idx="58">
                  <c:v>106.1</c:v>
                </c:pt>
                <c:pt idx="59">
                  <c:v>68.2</c:v>
                </c:pt>
                <c:pt idx="60">
                  <c:v>94.3</c:v>
                </c:pt>
                <c:pt idx="61">
                  <c:v>100.5</c:v>
                </c:pt>
                <c:pt idx="62">
                  <c:v>68.900000000000006</c:v>
                </c:pt>
                <c:pt idx="63">
                  <c:v>65.3</c:v>
                </c:pt>
                <c:pt idx="64">
                  <c:v>47</c:v>
                </c:pt>
                <c:pt idx="65">
                  <c:v>65.400000000000006</c:v>
                </c:pt>
                <c:pt idx="66">
                  <c:v>87.3</c:v>
                </c:pt>
                <c:pt idx="67">
                  <c:v>81</c:v>
                </c:pt>
                <c:pt idx="68">
                  <c:v>82.7</c:v>
                </c:pt>
                <c:pt idx="69">
                  <c:v>94.1</c:v>
                </c:pt>
                <c:pt idx="70">
                  <c:v>104.6</c:v>
                </c:pt>
                <c:pt idx="71">
                  <c:v>140.6</c:v>
                </c:pt>
                <c:pt idx="72">
                  <c:v>140.5</c:v>
                </c:pt>
                <c:pt idx="73">
                  <c:v>186.2</c:v>
                </c:pt>
                <c:pt idx="74">
                  <c:v>187.7</c:v>
                </c:pt>
                <c:pt idx="75">
                  <c:v>176.8</c:v>
                </c:pt>
                <c:pt idx="76">
                  <c:v>162.6</c:v>
                </c:pt>
                <c:pt idx="77">
                  <c:v>209</c:v>
                </c:pt>
                <c:pt idx="78">
                  <c:v>193.1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38F-6240-9339-5402C4D43D83}"/>
            </c:ext>
          </c:extLst>
        </c:ser>
        <c:ser>
          <c:idx val="1"/>
          <c:order val="1"/>
          <c:tx>
            <c:v>Maximum Pipe invert Level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'MAIN ROUTE'!$F$2:$F$80</c:f>
              <c:numCache>
                <c:formatCode>General</c:formatCode>
                <c:ptCount val="79"/>
                <c:pt idx="0">
                  <c:v>0</c:v>
                </c:pt>
                <c:pt idx="1">
                  <c:v>0.26750445912670062</c:v>
                </c:pt>
                <c:pt idx="2">
                  <c:v>0.44817898171090326</c:v>
                </c:pt>
                <c:pt idx="3">
                  <c:v>0.67799309022309617</c:v>
                </c:pt>
                <c:pt idx="4">
                  <c:v>1.1491217902994593</c:v>
                </c:pt>
                <c:pt idx="5">
                  <c:v>1.4556389129937735</c:v>
                </c:pt>
                <c:pt idx="6">
                  <c:v>2.0324058948031816</c:v>
                </c:pt>
                <c:pt idx="7">
                  <c:v>2.4980846000901136</c:v>
                </c:pt>
                <c:pt idx="8">
                  <c:v>3.0215539127321129</c:v>
                </c:pt>
                <c:pt idx="9">
                  <c:v>3.7734530957676613</c:v>
                </c:pt>
                <c:pt idx="10">
                  <c:v>4.3501214056206861</c:v>
                </c:pt>
                <c:pt idx="11">
                  <c:v>5.0272647532464694</c:v>
                </c:pt>
                <c:pt idx="12">
                  <c:v>5.2606371184421068</c:v>
                </c:pt>
                <c:pt idx="13">
                  <c:v>5.4305934002639003</c:v>
                </c:pt>
                <c:pt idx="14">
                  <c:v>5.7535231427068174</c:v>
                </c:pt>
                <c:pt idx="15">
                  <c:v>5.9490959338328331</c:v>
                </c:pt>
                <c:pt idx="16">
                  <c:v>6.4434587446160583</c:v>
                </c:pt>
                <c:pt idx="17">
                  <c:v>6.5740652626066964</c:v>
                </c:pt>
                <c:pt idx="18">
                  <c:v>7.0670504512366756</c:v>
                </c:pt>
                <c:pt idx="19">
                  <c:v>7.5654300871639286</c:v>
                </c:pt>
                <c:pt idx="20">
                  <c:v>7.7150185899288717</c:v>
                </c:pt>
                <c:pt idx="21">
                  <c:v>7.9018005674349618</c:v>
                </c:pt>
                <c:pt idx="22">
                  <c:v>8.2005820507752745</c:v>
                </c:pt>
                <c:pt idx="23">
                  <c:v>8.5467651614673503</c:v>
                </c:pt>
                <c:pt idx="24">
                  <c:v>8.8804455565690805</c:v>
                </c:pt>
                <c:pt idx="25">
                  <c:v>9.1246887405432222</c:v>
                </c:pt>
                <c:pt idx="26">
                  <c:v>9.4819619490777391</c:v>
                </c:pt>
                <c:pt idx="27">
                  <c:v>9.7788911944094643</c:v>
                </c:pt>
                <c:pt idx="28">
                  <c:v>10.105961413666913</c:v>
                </c:pt>
                <c:pt idx="29">
                  <c:v>10.542865738156337</c:v>
                </c:pt>
                <c:pt idx="30">
                  <c:v>11.300118477782217</c:v>
                </c:pt>
                <c:pt idx="31">
                  <c:v>11.462324349047668</c:v>
                </c:pt>
                <c:pt idx="32">
                  <c:v>11.687019557409752</c:v>
                </c:pt>
                <c:pt idx="33">
                  <c:v>12.598804063271693</c:v>
                </c:pt>
                <c:pt idx="34">
                  <c:v>13.079443671525079</c:v>
                </c:pt>
                <c:pt idx="35">
                  <c:v>13.203461703126955</c:v>
                </c:pt>
                <c:pt idx="36">
                  <c:v>13.737494209023463</c:v>
                </c:pt>
                <c:pt idx="37">
                  <c:v>13.987550695506553</c:v>
                </c:pt>
                <c:pt idx="38">
                  <c:v>14.678602697800457</c:v>
                </c:pt>
                <c:pt idx="39">
                  <c:v>15.330568547494446</c:v>
                </c:pt>
                <c:pt idx="40">
                  <c:v>16.046588507735539</c:v>
                </c:pt>
                <c:pt idx="41">
                  <c:v>16.650929597394043</c:v>
                </c:pt>
                <c:pt idx="42">
                  <c:v>17.040832659160948</c:v>
                </c:pt>
                <c:pt idx="43">
                  <c:v>17.885045418233272</c:v>
                </c:pt>
                <c:pt idx="44">
                  <c:v>18.400219349314998</c:v>
                </c:pt>
                <c:pt idx="45">
                  <c:v>19.183449140316956</c:v>
                </c:pt>
                <c:pt idx="46">
                  <c:v>20.2644582934496</c:v>
                </c:pt>
                <c:pt idx="47">
                  <c:v>21.519652986523337</c:v>
                </c:pt>
                <c:pt idx="48">
                  <c:v>22.0213105738144</c:v>
                </c:pt>
                <c:pt idx="49">
                  <c:v>23.486504738697885</c:v>
                </c:pt>
                <c:pt idx="50">
                  <c:v>24.115953610699826</c:v>
                </c:pt>
                <c:pt idx="51">
                  <c:v>25.191538727076427</c:v>
                </c:pt>
                <c:pt idx="52">
                  <c:v>26.048949540198983</c:v>
                </c:pt>
                <c:pt idx="53">
                  <c:v>27.080413150519657</c:v>
                </c:pt>
                <c:pt idx="54">
                  <c:v>27.978869961510647</c:v>
                </c:pt>
                <c:pt idx="55">
                  <c:v>28.920115920998089</c:v>
                </c:pt>
                <c:pt idx="56">
                  <c:v>29.405245899027683</c:v>
                </c:pt>
                <c:pt idx="57">
                  <c:v>30.107986329420115</c:v>
                </c:pt>
                <c:pt idx="58">
                  <c:v>31.357902915589463</c:v>
                </c:pt>
                <c:pt idx="59">
                  <c:v>32.459700589651405</c:v>
                </c:pt>
                <c:pt idx="60">
                  <c:v>33.673992053862513</c:v>
                </c:pt>
                <c:pt idx="61">
                  <c:v>34.687784901384752</c:v>
                </c:pt>
                <c:pt idx="62">
                  <c:v>35.559487792847875</c:v>
                </c:pt>
                <c:pt idx="63">
                  <c:v>36.662009088027276</c:v>
                </c:pt>
                <c:pt idx="64">
                  <c:v>37.806150202182593</c:v>
                </c:pt>
                <c:pt idx="65">
                  <c:v>39.142538564221852</c:v>
                </c:pt>
                <c:pt idx="66">
                  <c:v>40.036755254924373</c:v>
                </c:pt>
                <c:pt idx="67">
                  <c:v>40.149547737385859</c:v>
                </c:pt>
                <c:pt idx="68">
                  <c:v>40.851533720870506</c:v>
                </c:pt>
                <c:pt idx="69">
                  <c:v>41.603679476197343</c:v>
                </c:pt>
                <c:pt idx="70">
                  <c:v>42.024459718465543</c:v>
                </c:pt>
                <c:pt idx="71">
                  <c:v>42.82256284877684</c:v>
                </c:pt>
                <c:pt idx="72">
                  <c:v>43.433921717805063</c:v>
                </c:pt>
                <c:pt idx="73">
                  <c:v>44.045801348626917</c:v>
                </c:pt>
                <c:pt idx="74">
                  <c:v>44.437300225574731</c:v>
                </c:pt>
                <c:pt idx="75">
                  <c:v>44.926215023890421</c:v>
                </c:pt>
                <c:pt idx="76">
                  <c:v>45.530766851900147</c:v>
                </c:pt>
                <c:pt idx="77">
                  <c:v>46.039616307597839</c:v>
                </c:pt>
                <c:pt idx="78">
                  <c:v>46.284626840856035</c:v>
                </c:pt>
              </c:numCache>
            </c:numRef>
          </c:xVal>
          <c:yVal>
            <c:numRef>
              <c:f>'MAIN ROUTE'!$G$87:$G$165</c:f>
              <c:numCache>
                <c:formatCode>General</c:formatCode>
                <c:ptCount val="79"/>
                <c:pt idx="0">
                  <c:v>258.39999999999998</c:v>
                </c:pt>
                <c:pt idx="1">
                  <c:v>261</c:v>
                </c:pt>
                <c:pt idx="2">
                  <c:v>263.5</c:v>
                </c:pt>
                <c:pt idx="3">
                  <c:v>265.89999999999998</c:v>
                </c:pt>
                <c:pt idx="4">
                  <c:v>248.3</c:v>
                </c:pt>
                <c:pt idx="5">
                  <c:v>226.3</c:v>
                </c:pt>
                <c:pt idx="6">
                  <c:v>212</c:v>
                </c:pt>
                <c:pt idx="7">
                  <c:v>210.1</c:v>
                </c:pt>
                <c:pt idx="8">
                  <c:v>206</c:v>
                </c:pt>
                <c:pt idx="9">
                  <c:v>209</c:v>
                </c:pt>
                <c:pt idx="10">
                  <c:v>218.9</c:v>
                </c:pt>
                <c:pt idx="11">
                  <c:v>224</c:v>
                </c:pt>
                <c:pt idx="12">
                  <c:v>220.5</c:v>
                </c:pt>
                <c:pt idx="13">
                  <c:v>218</c:v>
                </c:pt>
                <c:pt idx="14">
                  <c:v>216</c:v>
                </c:pt>
                <c:pt idx="15">
                  <c:v>216.1</c:v>
                </c:pt>
                <c:pt idx="16">
                  <c:v>218.8</c:v>
                </c:pt>
                <c:pt idx="17">
                  <c:v>214</c:v>
                </c:pt>
                <c:pt idx="18">
                  <c:v>213</c:v>
                </c:pt>
                <c:pt idx="19">
                  <c:v>215.2</c:v>
                </c:pt>
                <c:pt idx="20">
                  <c:v>219</c:v>
                </c:pt>
                <c:pt idx="21">
                  <c:v>221</c:v>
                </c:pt>
                <c:pt idx="22">
                  <c:v>217.2</c:v>
                </c:pt>
                <c:pt idx="23">
                  <c:v>217.3</c:v>
                </c:pt>
                <c:pt idx="24">
                  <c:v>216.2</c:v>
                </c:pt>
                <c:pt idx="25">
                  <c:v>218</c:v>
                </c:pt>
                <c:pt idx="26">
                  <c:v>216.6</c:v>
                </c:pt>
                <c:pt idx="27">
                  <c:v>215.2</c:v>
                </c:pt>
                <c:pt idx="28">
                  <c:v>214.8</c:v>
                </c:pt>
                <c:pt idx="29">
                  <c:v>212.6</c:v>
                </c:pt>
                <c:pt idx="30">
                  <c:v>212.8</c:v>
                </c:pt>
                <c:pt idx="31">
                  <c:v>211.1</c:v>
                </c:pt>
                <c:pt idx="32">
                  <c:v>213.6</c:v>
                </c:pt>
                <c:pt idx="33">
                  <c:v>229.1</c:v>
                </c:pt>
                <c:pt idx="34">
                  <c:v>223.4</c:v>
                </c:pt>
                <c:pt idx="35">
                  <c:v>221.3</c:v>
                </c:pt>
                <c:pt idx="36">
                  <c:v>217.2</c:v>
                </c:pt>
                <c:pt idx="37">
                  <c:v>225</c:v>
                </c:pt>
                <c:pt idx="38">
                  <c:v>212.6</c:v>
                </c:pt>
                <c:pt idx="39">
                  <c:v>212.7</c:v>
                </c:pt>
                <c:pt idx="40">
                  <c:v>243.6</c:v>
                </c:pt>
                <c:pt idx="41">
                  <c:v>266.8</c:v>
                </c:pt>
                <c:pt idx="42">
                  <c:v>273.7</c:v>
                </c:pt>
                <c:pt idx="43">
                  <c:v>293.5</c:v>
                </c:pt>
                <c:pt idx="44">
                  <c:v>296.39999999999998</c:v>
                </c:pt>
                <c:pt idx="45">
                  <c:v>291.7</c:v>
                </c:pt>
                <c:pt idx="46">
                  <c:v>300.60000000000002</c:v>
                </c:pt>
                <c:pt idx="47">
                  <c:v>332.2</c:v>
                </c:pt>
                <c:pt idx="48">
                  <c:v>333</c:v>
                </c:pt>
                <c:pt idx="49">
                  <c:v>310</c:v>
                </c:pt>
                <c:pt idx="50">
                  <c:v>316.60000000000002</c:v>
                </c:pt>
                <c:pt idx="51">
                  <c:v>280.7</c:v>
                </c:pt>
                <c:pt idx="52">
                  <c:v>247</c:v>
                </c:pt>
                <c:pt idx="53">
                  <c:v>253.3</c:v>
                </c:pt>
                <c:pt idx="54">
                  <c:v>251.9</c:v>
                </c:pt>
                <c:pt idx="55">
                  <c:v>260.3</c:v>
                </c:pt>
                <c:pt idx="56">
                  <c:v>285.8</c:v>
                </c:pt>
                <c:pt idx="57">
                  <c:v>302</c:v>
                </c:pt>
                <c:pt idx="58">
                  <c:v>266.10000000000002</c:v>
                </c:pt>
                <c:pt idx="59">
                  <c:v>228.2</c:v>
                </c:pt>
                <c:pt idx="60">
                  <c:v>254.3</c:v>
                </c:pt>
                <c:pt idx="61">
                  <c:v>260.5</c:v>
                </c:pt>
                <c:pt idx="62">
                  <c:v>228.9</c:v>
                </c:pt>
                <c:pt idx="63">
                  <c:v>225.3</c:v>
                </c:pt>
                <c:pt idx="64">
                  <c:v>207</c:v>
                </c:pt>
                <c:pt idx="65">
                  <c:v>225.4</c:v>
                </c:pt>
                <c:pt idx="66">
                  <c:v>247.3</c:v>
                </c:pt>
                <c:pt idx="67">
                  <c:v>241</c:v>
                </c:pt>
                <c:pt idx="68">
                  <c:v>242.7</c:v>
                </c:pt>
                <c:pt idx="69">
                  <c:v>254.1</c:v>
                </c:pt>
                <c:pt idx="70">
                  <c:v>264.60000000000002</c:v>
                </c:pt>
                <c:pt idx="71">
                  <c:v>300.60000000000002</c:v>
                </c:pt>
                <c:pt idx="72">
                  <c:v>300.5</c:v>
                </c:pt>
                <c:pt idx="73">
                  <c:v>346.2</c:v>
                </c:pt>
                <c:pt idx="74">
                  <c:v>347.7</c:v>
                </c:pt>
                <c:pt idx="75">
                  <c:v>336.8</c:v>
                </c:pt>
                <c:pt idx="76">
                  <c:v>322.60000000000002</c:v>
                </c:pt>
                <c:pt idx="77">
                  <c:v>369</c:v>
                </c:pt>
                <c:pt idx="78">
                  <c:v>353.1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38F-6240-9339-5402C4D43D83}"/>
            </c:ext>
          </c:extLst>
        </c:ser>
        <c:ser>
          <c:idx val="2"/>
          <c:order val="2"/>
          <c:tx>
            <c:v>Hydraulic Gradient 1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'MAIN ROUTE'!$F$2:$F$80</c:f>
              <c:numCache>
                <c:formatCode>General</c:formatCode>
                <c:ptCount val="79"/>
                <c:pt idx="0">
                  <c:v>0</c:v>
                </c:pt>
                <c:pt idx="1">
                  <c:v>0.26750445912670062</c:v>
                </c:pt>
                <c:pt idx="2">
                  <c:v>0.44817898171090326</c:v>
                </c:pt>
                <c:pt idx="3">
                  <c:v>0.67799309022309617</c:v>
                </c:pt>
                <c:pt idx="4">
                  <c:v>1.1491217902994593</c:v>
                </c:pt>
                <c:pt idx="5">
                  <c:v>1.4556389129937735</c:v>
                </c:pt>
                <c:pt idx="6">
                  <c:v>2.0324058948031816</c:v>
                </c:pt>
                <c:pt idx="7">
                  <c:v>2.4980846000901136</c:v>
                </c:pt>
                <c:pt idx="8">
                  <c:v>3.0215539127321129</c:v>
                </c:pt>
                <c:pt idx="9">
                  <c:v>3.7734530957676613</c:v>
                </c:pt>
                <c:pt idx="10">
                  <c:v>4.3501214056206861</c:v>
                </c:pt>
                <c:pt idx="11">
                  <c:v>5.0272647532464694</c:v>
                </c:pt>
                <c:pt idx="12">
                  <c:v>5.2606371184421068</c:v>
                </c:pt>
                <c:pt idx="13">
                  <c:v>5.4305934002639003</c:v>
                </c:pt>
                <c:pt idx="14">
                  <c:v>5.7535231427068174</c:v>
                </c:pt>
                <c:pt idx="15">
                  <c:v>5.9490959338328331</c:v>
                </c:pt>
                <c:pt idx="16">
                  <c:v>6.4434587446160583</c:v>
                </c:pt>
                <c:pt idx="17">
                  <c:v>6.5740652626066964</c:v>
                </c:pt>
                <c:pt idx="18">
                  <c:v>7.0670504512366756</c:v>
                </c:pt>
                <c:pt idx="19">
                  <c:v>7.5654300871639286</c:v>
                </c:pt>
                <c:pt idx="20">
                  <c:v>7.7150185899288717</c:v>
                </c:pt>
                <c:pt idx="21">
                  <c:v>7.9018005674349618</c:v>
                </c:pt>
                <c:pt idx="22">
                  <c:v>8.2005820507752745</c:v>
                </c:pt>
                <c:pt idx="23">
                  <c:v>8.5467651614673503</c:v>
                </c:pt>
                <c:pt idx="24">
                  <c:v>8.8804455565690805</c:v>
                </c:pt>
                <c:pt idx="25">
                  <c:v>9.1246887405432222</c:v>
                </c:pt>
                <c:pt idx="26">
                  <c:v>9.4819619490777391</c:v>
                </c:pt>
                <c:pt idx="27">
                  <c:v>9.7788911944094643</c:v>
                </c:pt>
                <c:pt idx="28">
                  <c:v>10.105961413666913</c:v>
                </c:pt>
                <c:pt idx="29">
                  <c:v>10.542865738156337</c:v>
                </c:pt>
                <c:pt idx="30">
                  <c:v>11.300118477782217</c:v>
                </c:pt>
                <c:pt idx="31">
                  <c:v>11.462324349047668</c:v>
                </c:pt>
                <c:pt idx="32">
                  <c:v>11.687019557409752</c:v>
                </c:pt>
                <c:pt idx="33">
                  <c:v>12.598804063271693</c:v>
                </c:pt>
                <c:pt idx="34">
                  <c:v>13.079443671525079</c:v>
                </c:pt>
                <c:pt idx="35">
                  <c:v>13.203461703126955</c:v>
                </c:pt>
                <c:pt idx="36">
                  <c:v>13.737494209023463</c:v>
                </c:pt>
                <c:pt idx="37">
                  <c:v>13.987550695506553</c:v>
                </c:pt>
                <c:pt idx="38">
                  <c:v>14.678602697800457</c:v>
                </c:pt>
                <c:pt idx="39">
                  <c:v>15.330568547494446</c:v>
                </c:pt>
                <c:pt idx="40">
                  <c:v>16.046588507735539</c:v>
                </c:pt>
                <c:pt idx="41">
                  <c:v>16.650929597394043</c:v>
                </c:pt>
                <c:pt idx="42">
                  <c:v>17.040832659160948</c:v>
                </c:pt>
                <c:pt idx="43">
                  <c:v>17.885045418233272</c:v>
                </c:pt>
                <c:pt idx="44">
                  <c:v>18.400219349314998</c:v>
                </c:pt>
                <c:pt idx="45">
                  <c:v>19.183449140316956</c:v>
                </c:pt>
                <c:pt idx="46">
                  <c:v>20.2644582934496</c:v>
                </c:pt>
                <c:pt idx="47">
                  <c:v>21.519652986523337</c:v>
                </c:pt>
                <c:pt idx="48">
                  <c:v>22.0213105738144</c:v>
                </c:pt>
                <c:pt idx="49">
                  <c:v>23.486504738697885</c:v>
                </c:pt>
                <c:pt idx="50">
                  <c:v>24.115953610699826</c:v>
                </c:pt>
                <c:pt idx="51">
                  <c:v>25.191538727076427</c:v>
                </c:pt>
                <c:pt idx="52">
                  <c:v>26.048949540198983</c:v>
                </c:pt>
                <c:pt idx="53">
                  <c:v>27.080413150519657</c:v>
                </c:pt>
                <c:pt idx="54">
                  <c:v>27.978869961510647</c:v>
                </c:pt>
                <c:pt idx="55">
                  <c:v>28.920115920998089</c:v>
                </c:pt>
                <c:pt idx="56">
                  <c:v>29.405245899027683</c:v>
                </c:pt>
                <c:pt idx="57">
                  <c:v>30.107986329420115</c:v>
                </c:pt>
                <c:pt idx="58">
                  <c:v>31.357902915589463</c:v>
                </c:pt>
                <c:pt idx="59">
                  <c:v>32.459700589651405</c:v>
                </c:pt>
                <c:pt idx="60">
                  <c:v>33.673992053862513</c:v>
                </c:pt>
                <c:pt idx="61">
                  <c:v>34.687784901384752</c:v>
                </c:pt>
                <c:pt idx="62">
                  <c:v>35.559487792847875</c:v>
                </c:pt>
                <c:pt idx="63">
                  <c:v>36.662009088027276</c:v>
                </c:pt>
                <c:pt idx="64">
                  <c:v>37.806150202182593</c:v>
                </c:pt>
                <c:pt idx="65">
                  <c:v>39.142538564221852</c:v>
                </c:pt>
                <c:pt idx="66">
                  <c:v>40.036755254924373</c:v>
                </c:pt>
                <c:pt idx="67">
                  <c:v>40.149547737385859</c:v>
                </c:pt>
                <c:pt idx="68">
                  <c:v>40.851533720870506</c:v>
                </c:pt>
                <c:pt idx="69">
                  <c:v>41.603679476197343</c:v>
                </c:pt>
                <c:pt idx="70">
                  <c:v>42.024459718465543</c:v>
                </c:pt>
                <c:pt idx="71">
                  <c:v>42.82256284877684</c:v>
                </c:pt>
                <c:pt idx="72">
                  <c:v>43.433921717805063</c:v>
                </c:pt>
                <c:pt idx="73">
                  <c:v>44.045801348626917</c:v>
                </c:pt>
                <c:pt idx="74">
                  <c:v>44.437300225574731</c:v>
                </c:pt>
                <c:pt idx="75">
                  <c:v>44.926215023890421</c:v>
                </c:pt>
                <c:pt idx="76">
                  <c:v>45.530766851900147</c:v>
                </c:pt>
                <c:pt idx="77">
                  <c:v>46.039616307597839</c:v>
                </c:pt>
                <c:pt idx="78">
                  <c:v>46.284626840856035</c:v>
                </c:pt>
              </c:numCache>
            </c:numRef>
          </c:xVal>
          <c:yVal>
            <c:numRef>
              <c:f>'MAIN ROUTE'!$H$87:$H$136</c:f>
              <c:numCache>
                <c:formatCode>General</c:formatCode>
                <c:ptCount val="50"/>
                <c:pt idx="0">
                  <c:v>198.4</c:v>
                </c:pt>
                <c:pt idx="1">
                  <c:v>197.96396773162348</c:v>
                </c:pt>
                <c:pt idx="2">
                  <c:v>197.66946825981123</c:v>
                </c:pt>
                <c:pt idx="3">
                  <c:v>197.29487126293637</c:v>
                </c:pt>
                <c:pt idx="4">
                  <c:v>196.52693148181189</c:v>
                </c:pt>
                <c:pt idx="5">
                  <c:v>196.02730857182016</c:v>
                </c:pt>
                <c:pt idx="6">
                  <c:v>195.08717839147081</c:v>
                </c:pt>
                <c:pt idx="7">
                  <c:v>194.32812210185313</c:v>
                </c:pt>
                <c:pt idx="8">
                  <c:v>193.47486712224665</c:v>
                </c:pt>
                <c:pt idx="9">
                  <c:v>192.24927145389873</c:v>
                </c:pt>
                <c:pt idx="10">
                  <c:v>191.3093021088383</c:v>
                </c:pt>
                <c:pt idx="11">
                  <c:v>190.20555845220827</c:v>
                </c:pt>
                <c:pt idx="12">
                  <c:v>189.82516149693936</c:v>
                </c:pt>
                <c:pt idx="13">
                  <c:v>189.54813275756985</c:v>
                </c:pt>
                <c:pt idx="14">
                  <c:v>189.02175727738791</c:v>
                </c:pt>
                <c:pt idx="15">
                  <c:v>188.70297362785249</c:v>
                </c:pt>
                <c:pt idx="16">
                  <c:v>187.89716224627583</c:v>
                </c:pt>
                <c:pt idx="17">
                  <c:v>187.68427362195109</c:v>
                </c:pt>
                <c:pt idx="18">
                  <c:v>186.88070776448421</c:v>
                </c:pt>
                <c:pt idx="19">
                  <c:v>186.06834895792281</c:v>
                </c:pt>
                <c:pt idx="20">
                  <c:v>185.82451969841594</c:v>
                </c:pt>
                <c:pt idx="21">
                  <c:v>185.52006507508102</c:v>
                </c:pt>
                <c:pt idx="22">
                  <c:v>185.03305125723631</c:v>
                </c:pt>
                <c:pt idx="23">
                  <c:v>184.46877278680822</c:v>
                </c:pt>
                <c:pt idx="24">
                  <c:v>183.92487374279241</c:v>
                </c:pt>
                <c:pt idx="25">
                  <c:v>183.52675735291456</c:v>
                </c:pt>
                <c:pt idx="26">
                  <c:v>182.94440202300331</c:v>
                </c:pt>
                <c:pt idx="27">
                  <c:v>182.46040735311257</c:v>
                </c:pt>
                <c:pt idx="28">
                  <c:v>181.92728289572295</c:v>
                </c:pt>
                <c:pt idx="29">
                  <c:v>181.21512884680519</c:v>
                </c:pt>
                <c:pt idx="30">
                  <c:v>179.98080688121499</c:v>
                </c:pt>
                <c:pt idx="31">
                  <c:v>179.7164113110523</c:v>
                </c:pt>
                <c:pt idx="32">
                  <c:v>179.35015812142211</c:v>
                </c:pt>
                <c:pt idx="33">
                  <c:v>177.86394937686714</c:v>
                </c:pt>
                <c:pt idx="34">
                  <c:v>177.08050681541414</c:v>
                </c:pt>
                <c:pt idx="35">
                  <c:v>176.87835742390308</c:v>
                </c:pt>
                <c:pt idx="36">
                  <c:v>176.00788443929176</c:v>
                </c:pt>
                <c:pt idx="37">
                  <c:v>175.60029236632431</c:v>
                </c:pt>
                <c:pt idx="38">
                  <c:v>174.47387760258528</c:v>
                </c:pt>
                <c:pt idx="39">
                  <c:v>173.41117326758405</c:v>
                </c:pt>
                <c:pt idx="40">
                  <c:v>172.24406073239106</c:v>
                </c:pt>
                <c:pt idx="41">
                  <c:v>171.25898475624771</c:v>
                </c:pt>
                <c:pt idx="42">
                  <c:v>170.62344276556766</c:v>
                </c:pt>
                <c:pt idx="43">
                  <c:v>169.24737596827978</c:v>
                </c:pt>
                <c:pt idx="44">
                  <c:v>168.40764246061656</c:v>
                </c:pt>
                <c:pt idx="45">
                  <c:v>167.13097790128336</c:v>
                </c:pt>
                <c:pt idx="46">
                  <c:v>165.36893298167715</c:v>
                </c:pt>
                <c:pt idx="47">
                  <c:v>163.32296563196698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38F-6240-9339-5402C4D43D83}"/>
            </c:ext>
          </c:extLst>
        </c:ser>
        <c:ser>
          <c:idx val="3"/>
          <c:order val="3"/>
          <c:tx>
            <c:v>Hydraulic Gradient 2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'MAIN ROUTE'!$F$48:$F$80</c:f>
              <c:numCache>
                <c:formatCode>General</c:formatCode>
                <c:ptCount val="33"/>
                <c:pt idx="0">
                  <c:v>20.2644582934496</c:v>
                </c:pt>
                <c:pt idx="1">
                  <c:v>21.519652986523337</c:v>
                </c:pt>
                <c:pt idx="2">
                  <c:v>22.0213105738144</c:v>
                </c:pt>
                <c:pt idx="3">
                  <c:v>23.486504738697885</c:v>
                </c:pt>
                <c:pt idx="4">
                  <c:v>24.115953610699826</c:v>
                </c:pt>
                <c:pt idx="5">
                  <c:v>25.191538727076427</c:v>
                </c:pt>
                <c:pt idx="6">
                  <c:v>26.048949540198983</c:v>
                </c:pt>
                <c:pt idx="7">
                  <c:v>27.080413150519657</c:v>
                </c:pt>
                <c:pt idx="8">
                  <c:v>27.978869961510647</c:v>
                </c:pt>
                <c:pt idx="9">
                  <c:v>28.920115920998089</c:v>
                </c:pt>
                <c:pt idx="10">
                  <c:v>29.405245899027683</c:v>
                </c:pt>
                <c:pt idx="11">
                  <c:v>30.107986329420115</c:v>
                </c:pt>
                <c:pt idx="12">
                  <c:v>31.357902915589463</c:v>
                </c:pt>
                <c:pt idx="13">
                  <c:v>32.459700589651405</c:v>
                </c:pt>
                <c:pt idx="14">
                  <c:v>33.673992053862513</c:v>
                </c:pt>
                <c:pt idx="15">
                  <c:v>34.687784901384752</c:v>
                </c:pt>
                <c:pt idx="16">
                  <c:v>35.559487792847875</c:v>
                </c:pt>
                <c:pt idx="17">
                  <c:v>36.662009088027276</c:v>
                </c:pt>
                <c:pt idx="18">
                  <c:v>37.806150202182593</c:v>
                </c:pt>
                <c:pt idx="19">
                  <c:v>39.142538564221852</c:v>
                </c:pt>
                <c:pt idx="20">
                  <c:v>40.036755254924373</c:v>
                </c:pt>
                <c:pt idx="21">
                  <c:v>40.149547737385859</c:v>
                </c:pt>
                <c:pt idx="22">
                  <c:v>40.851533720870506</c:v>
                </c:pt>
                <c:pt idx="23">
                  <c:v>41.603679476197343</c:v>
                </c:pt>
                <c:pt idx="24">
                  <c:v>42.024459718465543</c:v>
                </c:pt>
                <c:pt idx="25">
                  <c:v>42.82256284877684</c:v>
                </c:pt>
                <c:pt idx="26">
                  <c:v>43.433921717805063</c:v>
                </c:pt>
                <c:pt idx="27">
                  <c:v>44.045801348626917</c:v>
                </c:pt>
                <c:pt idx="28">
                  <c:v>44.437300225574731</c:v>
                </c:pt>
                <c:pt idx="29">
                  <c:v>44.926215023890421</c:v>
                </c:pt>
                <c:pt idx="30">
                  <c:v>45.530766851900147</c:v>
                </c:pt>
                <c:pt idx="31">
                  <c:v>46.039616307597839</c:v>
                </c:pt>
                <c:pt idx="32">
                  <c:v>46.284626840856035</c:v>
                </c:pt>
              </c:numCache>
            </c:numRef>
          </c:xVal>
          <c:yVal>
            <c:numRef>
              <c:f>'MAIN ROUTE'!$I$134:$I$164</c:f>
              <c:numCache>
                <c:formatCode>General</c:formatCode>
                <c:ptCount val="31"/>
                <c:pt idx="0">
                  <c:v>193.32296563196698</c:v>
                </c:pt>
                <c:pt idx="1">
                  <c:v>192.88693336359046</c:v>
                </c:pt>
                <c:pt idx="2">
                  <c:v>192.5924338917782</c:v>
                </c:pt>
                <c:pt idx="3">
                  <c:v>192.21783689490334</c:v>
                </c:pt>
                <c:pt idx="4">
                  <c:v>191.44989711377886</c:v>
                </c:pt>
                <c:pt idx="5">
                  <c:v>190.95027420378713</c:v>
                </c:pt>
                <c:pt idx="6">
                  <c:v>190.01014402343779</c:v>
                </c:pt>
                <c:pt idx="7">
                  <c:v>189.2510877338201</c:v>
                </c:pt>
                <c:pt idx="8">
                  <c:v>188.39783275421362</c:v>
                </c:pt>
                <c:pt idx="9">
                  <c:v>187.1722370858657</c:v>
                </c:pt>
                <c:pt idx="10">
                  <c:v>186.23226774080527</c:v>
                </c:pt>
                <c:pt idx="11">
                  <c:v>185.12852408417524</c:v>
                </c:pt>
                <c:pt idx="12">
                  <c:v>184.74812712890633</c:v>
                </c:pt>
                <c:pt idx="13">
                  <c:v>184.47109838953682</c:v>
                </c:pt>
                <c:pt idx="14">
                  <c:v>183.94472290935488</c:v>
                </c:pt>
                <c:pt idx="15">
                  <c:v>183.62593925981946</c:v>
                </c:pt>
                <c:pt idx="16">
                  <c:v>182.8201278782428</c:v>
                </c:pt>
                <c:pt idx="17">
                  <c:v>182.60723925391807</c:v>
                </c:pt>
                <c:pt idx="18">
                  <c:v>181.80367339645119</c:v>
                </c:pt>
                <c:pt idx="19">
                  <c:v>180.99131458988978</c:v>
                </c:pt>
                <c:pt idx="20">
                  <c:v>180.74748533038291</c:v>
                </c:pt>
                <c:pt idx="21">
                  <c:v>180.443030707048</c:v>
                </c:pt>
                <c:pt idx="22">
                  <c:v>179.95601688920328</c:v>
                </c:pt>
                <c:pt idx="23">
                  <c:v>179.39173841877519</c:v>
                </c:pt>
                <c:pt idx="24">
                  <c:v>178.84783937475939</c:v>
                </c:pt>
                <c:pt idx="25">
                  <c:v>178.44972298488153</c:v>
                </c:pt>
                <c:pt idx="26">
                  <c:v>177.86736765497028</c:v>
                </c:pt>
                <c:pt idx="27">
                  <c:v>177.38337298507955</c:v>
                </c:pt>
                <c:pt idx="28">
                  <c:v>176.85024852768993</c:v>
                </c:pt>
                <c:pt idx="29">
                  <c:v>176.13809447877216</c:v>
                </c:pt>
                <c:pt idx="30">
                  <c:v>174.90377251318196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38F-6240-9339-5402C4D43D83}"/>
            </c:ext>
          </c:extLst>
        </c:ser>
        <c:ser>
          <c:idx val="4"/>
          <c:order val="4"/>
          <c:tx>
            <c:v>Hydraulic Gradient 3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'MAIN ROUTE'!$F$78:$F$80</c:f>
              <c:numCache>
                <c:formatCode>General</c:formatCode>
                <c:ptCount val="3"/>
                <c:pt idx="0">
                  <c:v>45.530766851900147</c:v>
                </c:pt>
                <c:pt idx="1">
                  <c:v>46.039616307597839</c:v>
                </c:pt>
                <c:pt idx="2">
                  <c:v>46.284626840856035</c:v>
                </c:pt>
              </c:numCache>
            </c:numRef>
          </c:xVal>
          <c:yVal>
            <c:numRef>
              <c:f>'MAIN ROUTE'!$J$164:$J$166</c:f>
              <c:numCache>
                <c:formatCode>General</c:formatCode>
                <c:ptCount val="3"/>
                <c:pt idx="0">
                  <c:v>194.90377251318196</c:v>
                </c:pt>
                <c:pt idx="1">
                  <c:v>194.46774024480544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38F-6240-9339-5402C4D43D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796288"/>
        <c:axId val="90671568"/>
      </c:scatterChart>
      <c:valAx>
        <c:axId val="90796288"/>
        <c:scaling>
          <c:orientation val="minMax"/>
          <c:max val="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Chainage (km)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N"/>
          </a:p>
        </c:txPr>
        <c:crossAx val="90671568"/>
        <c:crosses val="autoZero"/>
        <c:crossBetween val="midCat"/>
      </c:valAx>
      <c:valAx>
        <c:axId val="90671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Height (m)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N"/>
          </a:p>
        </c:txPr>
        <c:crossAx val="9079628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N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Hydraulic Profile (PN10 560 mm) (Barr)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Pipe Invert Level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'MAIN ROUTE'!$F$2:$F$80</c:f>
              <c:numCache>
                <c:formatCode>General</c:formatCode>
                <c:ptCount val="79"/>
                <c:pt idx="0">
                  <c:v>0</c:v>
                </c:pt>
                <c:pt idx="1">
                  <c:v>0.26750445912670062</c:v>
                </c:pt>
                <c:pt idx="2">
                  <c:v>0.44817898171090326</c:v>
                </c:pt>
                <c:pt idx="3">
                  <c:v>0.67799309022309617</c:v>
                </c:pt>
                <c:pt idx="4">
                  <c:v>1.1491217902994593</c:v>
                </c:pt>
                <c:pt idx="5">
                  <c:v>1.4556389129937735</c:v>
                </c:pt>
                <c:pt idx="6">
                  <c:v>2.0324058948031816</c:v>
                </c:pt>
                <c:pt idx="7">
                  <c:v>2.4980846000901136</c:v>
                </c:pt>
                <c:pt idx="8">
                  <c:v>3.0215539127321129</c:v>
                </c:pt>
                <c:pt idx="9">
                  <c:v>3.7734530957676613</c:v>
                </c:pt>
                <c:pt idx="10">
                  <c:v>4.3501214056206861</c:v>
                </c:pt>
                <c:pt idx="11">
                  <c:v>5.0272647532464694</c:v>
                </c:pt>
                <c:pt idx="12">
                  <c:v>5.2606371184421068</c:v>
                </c:pt>
                <c:pt idx="13">
                  <c:v>5.4305934002639003</c:v>
                </c:pt>
                <c:pt idx="14">
                  <c:v>5.7535231427068174</c:v>
                </c:pt>
                <c:pt idx="15">
                  <c:v>5.9490959338328331</c:v>
                </c:pt>
                <c:pt idx="16">
                  <c:v>6.4434587446160583</c:v>
                </c:pt>
                <c:pt idx="17">
                  <c:v>6.5740652626066964</c:v>
                </c:pt>
                <c:pt idx="18">
                  <c:v>7.0670504512366756</c:v>
                </c:pt>
                <c:pt idx="19">
                  <c:v>7.5654300871639286</c:v>
                </c:pt>
                <c:pt idx="20">
                  <c:v>7.7150185899288717</c:v>
                </c:pt>
                <c:pt idx="21">
                  <c:v>7.9018005674349618</c:v>
                </c:pt>
                <c:pt idx="22">
                  <c:v>8.2005820507752745</c:v>
                </c:pt>
                <c:pt idx="23">
                  <c:v>8.5467651614673503</c:v>
                </c:pt>
                <c:pt idx="24">
                  <c:v>8.8804455565690805</c:v>
                </c:pt>
                <c:pt idx="25">
                  <c:v>9.1246887405432222</c:v>
                </c:pt>
                <c:pt idx="26">
                  <c:v>9.4819619490777391</c:v>
                </c:pt>
                <c:pt idx="27">
                  <c:v>9.7788911944094643</c:v>
                </c:pt>
                <c:pt idx="28">
                  <c:v>10.105961413666913</c:v>
                </c:pt>
                <c:pt idx="29">
                  <c:v>10.542865738156337</c:v>
                </c:pt>
                <c:pt idx="30">
                  <c:v>11.300118477782217</c:v>
                </c:pt>
                <c:pt idx="31">
                  <c:v>11.462324349047668</c:v>
                </c:pt>
                <c:pt idx="32">
                  <c:v>11.687019557409752</c:v>
                </c:pt>
                <c:pt idx="33">
                  <c:v>12.598804063271693</c:v>
                </c:pt>
                <c:pt idx="34">
                  <c:v>13.079443671525079</c:v>
                </c:pt>
                <c:pt idx="35">
                  <c:v>13.203461703126955</c:v>
                </c:pt>
                <c:pt idx="36">
                  <c:v>13.737494209023463</c:v>
                </c:pt>
                <c:pt idx="37">
                  <c:v>13.987550695506553</c:v>
                </c:pt>
                <c:pt idx="38">
                  <c:v>14.678602697800457</c:v>
                </c:pt>
                <c:pt idx="39">
                  <c:v>15.330568547494446</c:v>
                </c:pt>
                <c:pt idx="40">
                  <c:v>16.046588507735539</c:v>
                </c:pt>
                <c:pt idx="41">
                  <c:v>16.650929597394043</c:v>
                </c:pt>
                <c:pt idx="42">
                  <c:v>17.040832659160948</c:v>
                </c:pt>
                <c:pt idx="43">
                  <c:v>17.885045418233272</c:v>
                </c:pt>
                <c:pt idx="44">
                  <c:v>18.400219349314998</c:v>
                </c:pt>
                <c:pt idx="45">
                  <c:v>19.183449140316956</c:v>
                </c:pt>
                <c:pt idx="46">
                  <c:v>20.2644582934496</c:v>
                </c:pt>
                <c:pt idx="47">
                  <c:v>21.519652986523337</c:v>
                </c:pt>
                <c:pt idx="48">
                  <c:v>22.0213105738144</c:v>
                </c:pt>
                <c:pt idx="49">
                  <c:v>23.486504738697885</c:v>
                </c:pt>
                <c:pt idx="50">
                  <c:v>24.115953610699826</c:v>
                </c:pt>
                <c:pt idx="51">
                  <c:v>25.191538727076427</c:v>
                </c:pt>
                <c:pt idx="52">
                  <c:v>26.048949540198983</c:v>
                </c:pt>
                <c:pt idx="53">
                  <c:v>27.080413150519657</c:v>
                </c:pt>
                <c:pt idx="54">
                  <c:v>27.978869961510647</c:v>
                </c:pt>
                <c:pt idx="55">
                  <c:v>28.920115920998089</c:v>
                </c:pt>
                <c:pt idx="56">
                  <c:v>29.405245899027683</c:v>
                </c:pt>
                <c:pt idx="57">
                  <c:v>30.107986329420115</c:v>
                </c:pt>
                <c:pt idx="58">
                  <c:v>31.357902915589463</c:v>
                </c:pt>
                <c:pt idx="59">
                  <c:v>32.459700589651405</c:v>
                </c:pt>
                <c:pt idx="60">
                  <c:v>33.673992053862513</c:v>
                </c:pt>
                <c:pt idx="61">
                  <c:v>34.687784901384752</c:v>
                </c:pt>
                <c:pt idx="62">
                  <c:v>35.559487792847875</c:v>
                </c:pt>
                <c:pt idx="63">
                  <c:v>36.662009088027276</c:v>
                </c:pt>
                <c:pt idx="64">
                  <c:v>37.806150202182593</c:v>
                </c:pt>
                <c:pt idx="65">
                  <c:v>39.142538564221852</c:v>
                </c:pt>
                <c:pt idx="66">
                  <c:v>40.036755254924373</c:v>
                </c:pt>
                <c:pt idx="67">
                  <c:v>40.149547737385859</c:v>
                </c:pt>
                <c:pt idx="68">
                  <c:v>40.851533720870506</c:v>
                </c:pt>
                <c:pt idx="69">
                  <c:v>41.603679476197343</c:v>
                </c:pt>
                <c:pt idx="70">
                  <c:v>42.024459718465543</c:v>
                </c:pt>
                <c:pt idx="71">
                  <c:v>42.82256284877684</c:v>
                </c:pt>
                <c:pt idx="72">
                  <c:v>43.433921717805063</c:v>
                </c:pt>
                <c:pt idx="73">
                  <c:v>44.045801348626917</c:v>
                </c:pt>
                <c:pt idx="74">
                  <c:v>44.437300225574731</c:v>
                </c:pt>
                <c:pt idx="75">
                  <c:v>44.926215023890421</c:v>
                </c:pt>
                <c:pt idx="76">
                  <c:v>45.530766851900147</c:v>
                </c:pt>
                <c:pt idx="77">
                  <c:v>46.039616307597839</c:v>
                </c:pt>
                <c:pt idx="78">
                  <c:v>46.284626840856035</c:v>
                </c:pt>
              </c:numCache>
            </c:numRef>
          </c:xVal>
          <c:yVal>
            <c:numRef>
              <c:f>'MAIN ROUTE'!$C$2:$C$80</c:f>
              <c:numCache>
                <c:formatCode>General</c:formatCode>
                <c:ptCount val="79"/>
                <c:pt idx="0">
                  <c:v>98.4</c:v>
                </c:pt>
                <c:pt idx="1">
                  <c:v>101</c:v>
                </c:pt>
                <c:pt idx="2">
                  <c:v>103.5</c:v>
                </c:pt>
                <c:pt idx="3">
                  <c:v>105.9</c:v>
                </c:pt>
                <c:pt idx="4">
                  <c:v>88.3</c:v>
                </c:pt>
                <c:pt idx="5">
                  <c:v>66.3</c:v>
                </c:pt>
                <c:pt idx="6">
                  <c:v>52</c:v>
                </c:pt>
                <c:pt idx="7">
                  <c:v>50.1</c:v>
                </c:pt>
                <c:pt idx="8">
                  <c:v>46</c:v>
                </c:pt>
                <c:pt idx="9">
                  <c:v>49</c:v>
                </c:pt>
                <c:pt idx="10">
                  <c:v>58.9</c:v>
                </c:pt>
                <c:pt idx="11">
                  <c:v>64</c:v>
                </c:pt>
                <c:pt idx="12">
                  <c:v>60.5</c:v>
                </c:pt>
                <c:pt idx="13">
                  <c:v>58</c:v>
                </c:pt>
                <c:pt idx="14">
                  <c:v>56</c:v>
                </c:pt>
                <c:pt idx="15">
                  <c:v>56.1</c:v>
                </c:pt>
                <c:pt idx="16">
                  <c:v>58.8</c:v>
                </c:pt>
                <c:pt idx="17">
                  <c:v>54</c:v>
                </c:pt>
                <c:pt idx="18">
                  <c:v>53</c:v>
                </c:pt>
                <c:pt idx="19">
                  <c:v>55.2</c:v>
                </c:pt>
                <c:pt idx="20">
                  <c:v>59</c:v>
                </c:pt>
                <c:pt idx="21">
                  <c:v>61</c:v>
                </c:pt>
                <c:pt idx="22">
                  <c:v>57.2</c:v>
                </c:pt>
                <c:pt idx="23">
                  <c:v>57.3</c:v>
                </c:pt>
                <c:pt idx="24">
                  <c:v>56.2</c:v>
                </c:pt>
                <c:pt idx="25">
                  <c:v>58</c:v>
                </c:pt>
                <c:pt idx="26">
                  <c:v>56.6</c:v>
                </c:pt>
                <c:pt idx="27">
                  <c:v>55.2</c:v>
                </c:pt>
                <c:pt idx="28">
                  <c:v>54.8</c:v>
                </c:pt>
                <c:pt idx="29">
                  <c:v>52.6</c:v>
                </c:pt>
                <c:pt idx="30">
                  <c:v>52.8</c:v>
                </c:pt>
                <c:pt idx="31">
                  <c:v>51.1</c:v>
                </c:pt>
                <c:pt idx="32">
                  <c:v>53.6</c:v>
                </c:pt>
                <c:pt idx="33">
                  <c:v>69.099999999999994</c:v>
                </c:pt>
                <c:pt idx="34">
                  <c:v>63.4</c:v>
                </c:pt>
                <c:pt idx="35">
                  <c:v>61.3</c:v>
                </c:pt>
                <c:pt idx="36">
                  <c:v>57.2</c:v>
                </c:pt>
                <c:pt idx="37">
                  <c:v>65</c:v>
                </c:pt>
                <c:pt idx="38">
                  <c:v>52.6</c:v>
                </c:pt>
                <c:pt idx="39">
                  <c:v>52.7</c:v>
                </c:pt>
                <c:pt idx="40">
                  <c:v>83.6</c:v>
                </c:pt>
                <c:pt idx="41">
                  <c:v>106.8</c:v>
                </c:pt>
                <c:pt idx="42">
                  <c:v>113.7</c:v>
                </c:pt>
                <c:pt idx="43">
                  <c:v>133.5</c:v>
                </c:pt>
                <c:pt idx="44">
                  <c:v>136.4</c:v>
                </c:pt>
                <c:pt idx="45">
                  <c:v>131.69999999999999</c:v>
                </c:pt>
                <c:pt idx="46">
                  <c:v>140.6</c:v>
                </c:pt>
                <c:pt idx="47">
                  <c:v>172.2</c:v>
                </c:pt>
                <c:pt idx="48">
                  <c:v>173</c:v>
                </c:pt>
                <c:pt idx="49">
                  <c:v>150</c:v>
                </c:pt>
                <c:pt idx="50">
                  <c:v>156.6</c:v>
                </c:pt>
                <c:pt idx="51">
                  <c:v>120.7</c:v>
                </c:pt>
                <c:pt idx="52">
                  <c:v>87</c:v>
                </c:pt>
                <c:pt idx="53">
                  <c:v>93.3</c:v>
                </c:pt>
                <c:pt idx="54">
                  <c:v>91.9</c:v>
                </c:pt>
                <c:pt idx="55">
                  <c:v>100.3</c:v>
                </c:pt>
                <c:pt idx="56">
                  <c:v>125.8</c:v>
                </c:pt>
                <c:pt idx="57">
                  <c:v>142</c:v>
                </c:pt>
                <c:pt idx="58">
                  <c:v>106.1</c:v>
                </c:pt>
                <c:pt idx="59">
                  <c:v>68.2</c:v>
                </c:pt>
                <c:pt idx="60">
                  <c:v>94.3</c:v>
                </c:pt>
                <c:pt idx="61">
                  <c:v>100.5</c:v>
                </c:pt>
                <c:pt idx="62">
                  <c:v>68.900000000000006</c:v>
                </c:pt>
                <c:pt idx="63">
                  <c:v>65.3</c:v>
                </c:pt>
                <c:pt idx="64">
                  <c:v>47</c:v>
                </c:pt>
                <c:pt idx="65">
                  <c:v>65.400000000000006</c:v>
                </c:pt>
                <c:pt idx="66">
                  <c:v>87.3</c:v>
                </c:pt>
                <c:pt idx="67">
                  <c:v>81</c:v>
                </c:pt>
                <c:pt idx="68">
                  <c:v>82.7</c:v>
                </c:pt>
                <c:pt idx="69">
                  <c:v>94.1</c:v>
                </c:pt>
                <c:pt idx="70">
                  <c:v>104.6</c:v>
                </c:pt>
                <c:pt idx="71">
                  <c:v>140.6</c:v>
                </c:pt>
                <c:pt idx="72">
                  <c:v>140.5</c:v>
                </c:pt>
                <c:pt idx="73">
                  <c:v>186.2</c:v>
                </c:pt>
                <c:pt idx="74">
                  <c:v>187.7</c:v>
                </c:pt>
                <c:pt idx="75">
                  <c:v>176.8</c:v>
                </c:pt>
                <c:pt idx="76">
                  <c:v>162.6</c:v>
                </c:pt>
                <c:pt idx="77">
                  <c:v>209</c:v>
                </c:pt>
                <c:pt idx="78">
                  <c:v>193.1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A75-F34A-8EBA-0FB3A320925A}"/>
            </c:ext>
          </c:extLst>
        </c:ser>
        <c:ser>
          <c:idx val="1"/>
          <c:order val="1"/>
          <c:tx>
            <c:v>Maximum Pipe invert Level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'MAIN ROUTE'!$F$2:$F$80</c:f>
              <c:numCache>
                <c:formatCode>General</c:formatCode>
                <c:ptCount val="79"/>
                <c:pt idx="0">
                  <c:v>0</c:v>
                </c:pt>
                <c:pt idx="1">
                  <c:v>0.26750445912670062</c:v>
                </c:pt>
                <c:pt idx="2">
                  <c:v>0.44817898171090326</c:v>
                </c:pt>
                <c:pt idx="3">
                  <c:v>0.67799309022309617</c:v>
                </c:pt>
                <c:pt idx="4">
                  <c:v>1.1491217902994593</c:v>
                </c:pt>
                <c:pt idx="5">
                  <c:v>1.4556389129937735</c:v>
                </c:pt>
                <c:pt idx="6">
                  <c:v>2.0324058948031816</c:v>
                </c:pt>
                <c:pt idx="7">
                  <c:v>2.4980846000901136</c:v>
                </c:pt>
                <c:pt idx="8">
                  <c:v>3.0215539127321129</c:v>
                </c:pt>
                <c:pt idx="9">
                  <c:v>3.7734530957676613</c:v>
                </c:pt>
                <c:pt idx="10">
                  <c:v>4.3501214056206861</c:v>
                </c:pt>
                <c:pt idx="11">
                  <c:v>5.0272647532464694</c:v>
                </c:pt>
                <c:pt idx="12">
                  <c:v>5.2606371184421068</c:v>
                </c:pt>
                <c:pt idx="13">
                  <c:v>5.4305934002639003</c:v>
                </c:pt>
                <c:pt idx="14">
                  <c:v>5.7535231427068174</c:v>
                </c:pt>
                <c:pt idx="15">
                  <c:v>5.9490959338328331</c:v>
                </c:pt>
                <c:pt idx="16">
                  <c:v>6.4434587446160583</c:v>
                </c:pt>
                <c:pt idx="17">
                  <c:v>6.5740652626066964</c:v>
                </c:pt>
                <c:pt idx="18">
                  <c:v>7.0670504512366756</c:v>
                </c:pt>
                <c:pt idx="19">
                  <c:v>7.5654300871639286</c:v>
                </c:pt>
                <c:pt idx="20">
                  <c:v>7.7150185899288717</c:v>
                </c:pt>
                <c:pt idx="21">
                  <c:v>7.9018005674349618</c:v>
                </c:pt>
                <c:pt idx="22">
                  <c:v>8.2005820507752745</c:v>
                </c:pt>
                <c:pt idx="23">
                  <c:v>8.5467651614673503</c:v>
                </c:pt>
                <c:pt idx="24">
                  <c:v>8.8804455565690805</c:v>
                </c:pt>
                <c:pt idx="25">
                  <c:v>9.1246887405432222</c:v>
                </c:pt>
                <c:pt idx="26">
                  <c:v>9.4819619490777391</c:v>
                </c:pt>
                <c:pt idx="27">
                  <c:v>9.7788911944094643</c:v>
                </c:pt>
                <c:pt idx="28">
                  <c:v>10.105961413666913</c:v>
                </c:pt>
                <c:pt idx="29">
                  <c:v>10.542865738156337</c:v>
                </c:pt>
                <c:pt idx="30">
                  <c:v>11.300118477782217</c:v>
                </c:pt>
                <c:pt idx="31">
                  <c:v>11.462324349047668</c:v>
                </c:pt>
                <c:pt idx="32">
                  <c:v>11.687019557409752</c:v>
                </c:pt>
                <c:pt idx="33">
                  <c:v>12.598804063271693</c:v>
                </c:pt>
                <c:pt idx="34">
                  <c:v>13.079443671525079</c:v>
                </c:pt>
                <c:pt idx="35">
                  <c:v>13.203461703126955</c:v>
                </c:pt>
                <c:pt idx="36">
                  <c:v>13.737494209023463</c:v>
                </c:pt>
                <c:pt idx="37">
                  <c:v>13.987550695506553</c:v>
                </c:pt>
                <c:pt idx="38">
                  <c:v>14.678602697800457</c:v>
                </c:pt>
                <c:pt idx="39">
                  <c:v>15.330568547494446</c:v>
                </c:pt>
                <c:pt idx="40">
                  <c:v>16.046588507735539</c:v>
                </c:pt>
                <c:pt idx="41">
                  <c:v>16.650929597394043</c:v>
                </c:pt>
                <c:pt idx="42">
                  <c:v>17.040832659160948</c:v>
                </c:pt>
                <c:pt idx="43">
                  <c:v>17.885045418233272</c:v>
                </c:pt>
                <c:pt idx="44">
                  <c:v>18.400219349314998</c:v>
                </c:pt>
                <c:pt idx="45">
                  <c:v>19.183449140316956</c:v>
                </c:pt>
                <c:pt idx="46">
                  <c:v>20.2644582934496</c:v>
                </c:pt>
                <c:pt idx="47">
                  <c:v>21.519652986523337</c:v>
                </c:pt>
                <c:pt idx="48">
                  <c:v>22.0213105738144</c:v>
                </c:pt>
                <c:pt idx="49">
                  <c:v>23.486504738697885</c:v>
                </c:pt>
                <c:pt idx="50">
                  <c:v>24.115953610699826</c:v>
                </c:pt>
                <c:pt idx="51">
                  <c:v>25.191538727076427</c:v>
                </c:pt>
                <c:pt idx="52">
                  <c:v>26.048949540198983</c:v>
                </c:pt>
                <c:pt idx="53">
                  <c:v>27.080413150519657</c:v>
                </c:pt>
                <c:pt idx="54">
                  <c:v>27.978869961510647</c:v>
                </c:pt>
                <c:pt idx="55">
                  <c:v>28.920115920998089</c:v>
                </c:pt>
                <c:pt idx="56">
                  <c:v>29.405245899027683</c:v>
                </c:pt>
                <c:pt idx="57">
                  <c:v>30.107986329420115</c:v>
                </c:pt>
                <c:pt idx="58">
                  <c:v>31.357902915589463</c:v>
                </c:pt>
                <c:pt idx="59">
                  <c:v>32.459700589651405</c:v>
                </c:pt>
                <c:pt idx="60">
                  <c:v>33.673992053862513</c:v>
                </c:pt>
                <c:pt idx="61">
                  <c:v>34.687784901384752</c:v>
                </c:pt>
                <c:pt idx="62">
                  <c:v>35.559487792847875</c:v>
                </c:pt>
                <c:pt idx="63">
                  <c:v>36.662009088027276</c:v>
                </c:pt>
                <c:pt idx="64">
                  <c:v>37.806150202182593</c:v>
                </c:pt>
                <c:pt idx="65">
                  <c:v>39.142538564221852</c:v>
                </c:pt>
                <c:pt idx="66">
                  <c:v>40.036755254924373</c:v>
                </c:pt>
                <c:pt idx="67">
                  <c:v>40.149547737385859</c:v>
                </c:pt>
                <c:pt idx="68">
                  <c:v>40.851533720870506</c:v>
                </c:pt>
                <c:pt idx="69">
                  <c:v>41.603679476197343</c:v>
                </c:pt>
                <c:pt idx="70">
                  <c:v>42.024459718465543</c:v>
                </c:pt>
                <c:pt idx="71">
                  <c:v>42.82256284877684</c:v>
                </c:pt>
                <c:pt idx="72">
                  <c:v>43.433921717805063</c:v>
                </c:pt>
                <c:pt idx="73">
                  <c:v>44.045801348626917</c:v>
                </c:pt>
                <c:pt idx="74">
                  <c:v>44.437300225574731</c:v>
                </c:pt>
                <c:pt idx="75">
                  <c:v>44.926215023890421</c:v>
                </c:pt>
                <c:pt idx="76">
                  <c:v>45.530766851900147</c:v>
                </c:pt>
                <c:pt idx="77">
                  <c:v>46.039616307597839</c:v>
                </c:pt>
                <c:pt idx="78">
                  <c:v>46.284626840856035</c:v>
                </c:pt>
              </c:numCache>
            </c:numRef>
          </c:xVal>
          <c:yVal>
            <c:numRef>
              <c:f>'MAIN ROUTE'!$B$87:$B$165</c:f>
              <c:numCache>
                <c:formatCode>General</c:formatCode>
                <c:ptCount val="79"/>
                <c:pt idx="0">
                  <c:v>198.4</c:v>
                </c:pt>
                <c:pt idx="1">
                  <c:v>201</c:v>
                </c:pt>
                <c:pt idx="2">
                  <c:v>203.5</c:v>
                </c:pt>
                <c:pt idx="3">
                  <c:v>205.9</c:v>
                </c:pt>
                <c:pt idx="4">
                  <c:v>188.3</c:v>
                </c:pt>
                <c:pt idx="5">
                  <c:v>166.3</c:v>
                </c:pt>
                <c:pt idx="6">
                  <c:v>152</c:v>
                </c:pt>
                <c:pt idx="7">
                  <c:v>150.1</c:v>
                </c:pt>
                <c:pt idx="8">
                  <c:v>146</c:v>
                </c:pt>
                <c:pt idx="9">
                  <c:v>149</c:v>
                </c:pt>
                <c:pt idx="10">
                  <c:v>158.9</c:v>
                </c:pt>
                <c:pt idx="11">
                  <c:v>164</c:v>
                </c:pt>
                <c:pt idx="12">
                  <c:v>160.5</c:v>
                </c:pt>
                <c:pt idx="13">
                  <c:v>158</c:v>
                </c:pt>
                <c:pt idx="14">
                  <c:v>156</c:v>
                </c:pt>
                <c:pt idx="15">
                  <c:v>156.1</c:v>
                </c:pt>
                <c:pt idx="16">
                  <c:v>158.80000000000001</c:v>
                </c:pt>
                <c:pt idx="17">
                  <c:v>154</c:v>
                </c:pt>
                <c:pt idx="18">
                  <c:v>153</c:v>
                </c:pt>
                <c:pt idx="19">
                  <c:v>155.19999999999999</c:v>
                </c:pt>
                <c:pt idx="20">
                  <c:v>159</c:v>
                </c:pt>
                <c:pt idx="21">
                  <c:v>161</c:v>
                </c:pt>
                <c:pt idx="22">
                  <c:v>157.19999999999999</c:v>
                </c:pt>
                <c:pt idx="23">
                  <c:v>157.30000000000001</c:v>
                </c:pt>
                <c:pt idx="24">
                  <c:v>156.19999999999999</c:v>
                </c:pt>
                <c:pt idx="25">
                  <c:v>158</c:v>
                </c:pt>
                <c:pt idx="26">
                  <c:v>156.6</c:v>
                </c:pt>
                <c:pt idx="27">
                  <c:v>155.19999999999999</c:v>
                </c:pt>
                <c:pt idx="28">
                  <c:v>154.80000000000001</c:v>
                </c:pt>
                <c:pt idx="29">
                  <c:v>152.6</c:v>
                </c:pt>
                <c:pt idx="30">
                  <c:v>152.80000000000001</c:v>
                </c:pt>
                <c:pt idx="31">
                  <c:v>151.1</c:v>
                </c:pt>
                <c:pt idx="32">
                  <c:v>153.6</c:v>
                </c:pt>
                <c:pt idx="33">
                  <c:v>169.1</c:v>
                </c:pt>
                <c:pt idx="34">
                  <c:v>163.4</c:v>
                </c:pt>
                <c:pt idx="35">
                  <c:v>161.30000000000001</c:v>
                </c:pt>
                <c:pt idx="36">
                  <c:v>157.19999999999999</c:v>
                </c:pt>
                <c:pt idx="37">
                  <c:v>165</c:v>
                </c:pt>
                <c:pt idx="38">
                  <c:v>152.6</c:v>
                </c:pt>
                <c:pt idx="39">
                  <c:v>152.69999999999999</c:v>
                </c:pt>
                <c:pt idx="40">
                  <c:v>183.6</c:v>
                </c:pt>
                <c:pt idx="41">
                  <c:v>206.8</c:v>
                </c:pt>
                <c:pt idx="42">
                  <c:v>213.7</c:v>
                </c:pt>
                <c:pt idx="43">
                  <c:v>233.5</c:v>
                </c:pt>
                <c:pt idx="44">
                  <c:v>236.4</c:v>
                </c:pt>
                <c:pt idx="45">
                  <c:v>231.7</c:v>
                </c:pt>
                <c:pt idx="46">
                  <c:v>240.6</c:v>
                </c:pt>
                <c:pt idx="47">
                  <c:v>272.2</c:v>
                </c:pt>
                <c:pt idx="48">
                  <c:v>273</c:v>
                </c:pt>
                <c:pt idx="49">
                  <c:v>250</c:v>
                </c:pt>
                <c:pt idx="50">
                  <c:v>256.60000000000002</c:v>
                </c:pt>
                <c:pt idx="51">
                  <c:v>220.7</c:v>
                </c:pt>
                <c:pt idx="52">
                  <c:v>187</c:v>
                </c:pt>
                <c:pt idx="53">
                  <c:v>193.3</c:v>
                </c:pt>
                <c:pt idx="54">
                  <c:v>191.9</c:v>
                </c:pt>
                <c:pt idx="55">
                  <c:v>200.3</c:v>
                </c:pt>
                <c:pt idx="56">
                  <c:v>225.8</c:v>
                </c:pt>
                <c:pt idx="57">
                  <c:v>242</c:v>
                </c:pt>
                <c:pt idx="58">
                  <c:v>206.1</c:v>
                </c:pt>
                <c:pt idx="59">
                  <c:v>168.2</c:v>
                </c:pt>
                <c:pt idx="60">
                  <c:v>194.3</c:v>
                </c:pt>
                <c:pt idx="61">
                  <c:v>200.5</c:v>
                </c:pt>
                <c:pt idx="62">
                  <c:v>168.9</c:v>
                </c:pt>
                <c:pt idx="63">
                  <c:v>165.3</c:v>
                </c:pt>
                <c:pt idx="64">
                  <c:v>147</c:v>
                </c:pt>
                <c:pt idx="65">
                  <c:v>165.4</c:v>
                </c:pt>
                <c:pt idx="66">
                  <c:v>187.3</c:v>
                </c:pt>
                <c:pt idx="67">
                  <c:v>181</c:v>
                </c:pt>
                <c:pt idx="68">
                  <c:v>182.7</c:v>
                </c:pt>
                <c:pt idx="69">
                  <c:v>194.1</c:v>
                </c:pt>
                <c:pt idx="70">
                  <c:v>204.6</c:v>
                </c:pt>
                <c:pt idx="71">
                  <c:v>240.6</c:v>
                </c:pt>
                <c:pt idx="72">
                  <c:v>240.5</c:v>
                </c:pt>
                <c:pt idx="73">
                  <c:v>286.2</c:v>
                </c:pt>
                <c:pt idx="74">
                  <c:v>287.7</c:v>
                </c:pt>
                <c:pt idx="75">
                  <c:v>276.8</c:v>
                </c:pt>
                <c:pt idx="76">
                  <c:v>262.60000000000002</c:v>
                </c:pt>
                <c:pt idx="77">
                  <c:v>309</c:v>
                </c:pt>
                <c:pt idx="78">
                  <c:v>293.10000000000002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A75-F34A-8EBA-0FB3A320925A}"/>
            </c:ext>
          </c:extLst>
        </c:ser>
        <c:ser>
          <c:idx val="2"/>
          <c:order val="2"/>
          <c:tx>
            <c:v>Hydraulic Gradient 1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'MAIN ROUTE'!$F$2:$F$80</c:f>
              <c:numCache>
                <c:formatCode>General</c:formatCode>
                <c:ptCount val="79"/>
                <c:pt idx="0">
                  <c:v>0</c:v>
                </c:pt>
                <c:pt idx="1">
                  <c:v>0.26750445912670062</c:v>
                </c:pt>
                <c:pt idx="2">
                  <c:v>0.44817898171090326</c:v>
                </c:pt>
                <c:pt idx="3">
                  <c:v>0.67799309022309617</c:v>
                </c:pt>
                <c:pt idx="4">
                  <c:v>1.1491217902994593</c:v>
                </c:pt>
                <c:pt idx="5">
                  <c:v>1.4556389129937735</c:v>
                </c:pt>
                <c:pt idx="6">
                  <c:v>2.0324058948031816</c:v>
                </c:pt>
                <c:pt idx="7">
                  <c:v>2.4980846000901136</c:v>
                </c:pt>
                <c:pt idx="8">
                  <c:v>3.0215539127321129</c:v>
                </c:pt>
                <c:pt idx="9">
                  <c:v>3.7734530957676613</c:v>
                </c:pt>
                <c:pt idx="10">
                  <c:v>4.3501214056206861</c:v>
                </c:pt>
                <c:pt idx="11">
                  <c:v>5.0272647532464694</c:v>
                </c:pt>
                <c:pt idx="12">
                  <c:v>5.2606371184421068</c:v>
                </c:pt>
                <c:pt idx="13">
                  <c:v>5.4305934002639003</c:v>
                </c:pt>
                <c:pt idx="14">
                  <c:v>5.7535231427068174</c:v>
                </c:pt>
                <c:pt idx="15">
                  <c:v>5.9490959338328331</c:v>
                </c:pt>
                <c:pt idx="16">
                  <c:v>6.4434587446160583</c:v>
                </c:pt>
                <c:pt idx="17">
                  <c:v>6.5740652626066964</c:v>
                </c:pt>
                <c:pt idx="18">
                  <c:v>7.0670504512366756</c:v>
                </c:pt>
                <c:pt idx="19">
                  <c:v>7.5654300871639286</c:v>
                </c:pt>
                <c:pt idx="20">
                  <c:v>7.7150185899288717</c:v>
                </c:pt>
                <c:pt idx="21">
                  <c:v>7.9018005674349618</c:v>
                </c:pt>
                <c:pt idx="22">
                  <c:v>8.2005820507752745</c:v>
                </c:pt>
                <c:pt idx="23">
                  <c:v>8.5467651614673503</c:v>
                </c:pt>
                <c:pt idx="24">
                  <c:v>8.8804455565690805</c:v>
                </c:pt>
                <c:pt idx="25">
                  <c:v>9.1246887405432222</c:v>
                </c:pt>
                <c:pt idx="26">
                  <c:v>9.4819619490777391</c:v>
                </c:pt>
                <c:pt idx="27">
                  <c:v>9.7788911944094643</c:v>
                </c:pt>
                <c:pt idx="28">
                  <c:v>10.105961413666913</c:v>
                </c:pt>
                <c:pt idx="29">
                  <c:v>10.542865738156337</c:v>
                </c:pt>
                <c:pt idx="30">
                  <c:v>11.300118477782217</c:v>
                </c:pt>
                <c:pt idx="31">
                  <c:v>11.462324349047668</c:v>
                </c:pt>
                <c:pt idx="32">
                  <c:v>11.687019557409752</c:v>
                </c:pt>
                <c:pt idx="33">
                  <c:v>12.598804063271693</c:v>
                </c:pt>
                <c:pt idx="34">
                  <c:v>13.079443671525079</c:v>
                </c:pt>
                <c:pt idx="35">
                  <c:v>13.203461703126955</c:v>
                </c:pt>
                <c:pt idx="36">
                  <c:v>13.737494209023463</c:v>
                </c:pt>
                <c:pt idx="37">
                  <c:v>13.987550695506553</c:v>
                </c:pt>
                <c:pt idx="38">
                  <c:v>14.678602697800457</c:v>
                </c:pt>
                <c:pt idx="39">
                  <c:v>15.330568547494446</c:v>
                </c:pt>
                <c:pt idx="40">
                  <c:v>16.046588507735539</c:v>
                </c:pt>
                <c:pt idx="41">
                  <c:v>16.650929597394043</c:v>
                </c:pt>
                <c:pt idx="42">
                  <c:v>17.040832659160948</c:v>
                </c:pt>
                <c:pt idx="43">
                  <c:v>17.885045418233272</c:v>
                </c:pt>
                <c:pt idx="44">
                  <c:v>18.400219349314998</c:v>
                </c:pt>
                <c:pt idx="45">
                  <c:v>19.183449140316956</c:v>
                </c:pt>
                <c:pt idx="46">
                  <c:v>20.2644582934496</c:v>
                </c:pt>
                <c:pt idx="47">
                  <c:v>21.519652986523337</c:v>
                </c:pt>
                <c:pt idx="48">
                  <c:v>22.0213105738144</c:v>
                </c:pt>
                <c:pt idx="49">
                  <c:v>23.486504738697885</c:v>
                </c:pt>
                <c:pt idx="50">
                  <c:v>24.115953610699826</c:v>
                </c:pt>
                <c:pt idx="51">
                  <c:v>25.191538727076427</c:v>
                </c:pt>
                <c:pt idx="52">
                  <c:v>26.048949540198983</c:v>
                </c:pt>
                <c:pt idx="53">
                  <c:v>27.080413150519657</c:v>
                </c:pt>
                <c:pt idx="54">
                  <c:v>27.978869961510647</c:v>
                </c:pt>
                <c:pt idx="55">
                  <c:v>28.920115920998089</c:v>
                </c:pt>
                <c:pt idx="56">
                  <c:v>29.405245899027683</c:v>
                </c:pt>
                <c:pt idx="57">
                  <c:v>30.107986329420115</c:v>
                </c:pt>
                <c:pt idx="58">
                  <c:v>31.357902915589463</c:v>
                </c:pt>
                <c:pt idx="59">
                  <c:v>32.459700589651405</c:v>
                </c:pt>
                <c:pt idx="60">
                  <c:v>33.673992053862513</c:v>
                </c:pt>
                <c:pt idx="61">
                  <c:v>34.687784901384752</c:v>
                </c:pt>
                <c:pt idx="62">
                  <c:v>35.559487792847875</c:v>
                </c:pt>
                <c:pt idx="63">
                  <c:v>36.662009088027276</c:v>
                </c:pt>
                <c:pt idx="64">
                  <c:v>37.806150202182593</c:v>
                </c:pt>
                <c:pt idx="65">
                  <c:v>39.142538564221852</c:v>
                </c:pt>
                <c:pt idx="66">
                  <c:v>40.036755254924373</c:v>
                </c:pt>
                <c:pt idx="67">
                  <c:v>40.149547737385859</c:v>
                </c:pt>
                <c:pt idx="68">
                  <c:v>40.851533720870506</c:v>
                </c:pt>
                <c:pt idx="69">
                  <c:v>41.603679476197343</c:v>
                </c:pt>
                <c:pt idx="70">
                  <c:v>42.024459718465543</c:v>
                </c:pt>
                <c:pt idx="71">
                  <c:v>42.82256284877684</c:v>
                </c:pt>
                <c:pt idx="72">
                  <c:v>43.433921717805063</c:v>
                </c:pt>
                <c:pt idx="73">
                  <c:v>44.045801348626917</c:v>
                </c:pt>
                <c:pt idx="74">
                  <c:v>44.437300225574731</c:v>
                </c:pt>
                <c:pt idx="75">
                  <c:v>44.926215023890421</c:v>
                </c:pt>
                <c:pt idx="76">
                  <c:v>45.530766851900147</c:v>
                </c:pt>
                <c:pt idx="77">
                  <c:v>46.039616307597839</c:v>
                </c:pt>
                <c:pt idx="78">
                  <c:v>46.284626840856035</c:v>
                </c:pt>
              </c:numCache>
            </c:numRef>
          </c:xVal>
          <c:yVal>
            <c:numRef>
              <c:f>'MAIN ROUTE'!$B$201:$B$242</c:f>
              <c:numCache>
                <c:formatCode>General</c:formatCode>
                <c:ptCount val="42"/>
                <c:pt idx="0">
                  <c:v>148.4</c:v>
                </c:pt>
                <c:pt idx="1">
                  <c:v>147.6354722558159</c:v>
                </c:pt>
                <c:pt idx="2">
                  <c:v>147.11910447027026</c:v>
                </c:pt>
                <c:pt idx="3">
                  <c:v>146.4622957481424</c:v>
                </c:pt>
                <c:pt idx="4">
                  <c:v>145.11580992332415</c:v>
                </c:pt>
                <c:pt idx="5">
                  <c:v>144.23978398666381</c:v>
                </c:pt>
                <c:pt idx="6">
                  <c:v>142.59138395265251</c:v>
                </c:pt>
                <c:pt idx="7">
                  <c:v>141.26047421294246</c:v>
                </c:pt>
                <c:pt idx="8">
                  <c:v>139.76439891741163</c:v>
                </c:pt>
                <c:pt idx="9">
                  <c:v>137.61547105229602</c:v>
                </c:pt>
                <c:pt idx="10">
                  <c:v>135.96735302273609</c:v>
                </c:pt>
                <c:pt idx="11">
                  <c:v>134.0320773352216</c:v>
                </c:pt>
                <c:pt idx="12">
                  <c:v>133.36509911549246</c:v>
                </c:pt>
                <c:pt idx="13">
                  <c:v>132.87936406204577</c:v>
                </c:pt>
                <c:pt idx="14">
                  <c:v>131.95643085814393</c:v>
                </c:pt>
                <c:pt idx="15">
                  <c:v>131.39748382110577</c:v>
                </c:pt>
                <c:pt idx="16">
                  <c:v>129.9845949078873</c:v>
                </c:pt>
                <c:pt idx="17">
                  <c:v>129.61132147947006</c:v>
                </c:pt>
                <c:pt idx="18">
                  <c:v>128.20236981036558</c:v>
                </c:pt>
                <c:pt idx="19">
                  <c:v>126.7780008108855</c:v>
                </c:pt>
                <c:pt idx="20">
                  <c:v>126.3504768699833</c:v>
                </c:pt>
                <c:pt idx="21">
                  <c:v>125.81665397827089</c:v>
                </c:pt>
                <c:pt idx="22">
                  <c:v>124.96273649888427</c:v>
                </c:pt>
                <c:pt idx="23">
                  <c:v>123.97334516852632</c:v>
                </c:pt>
                <c:pt idx="24">
                  <c:v>123.01968659932558</c:v>
                </c:pt>
                <c:pt idx="25">
                  <c:v>122.32163957952747</c:v>
                </c:pt>
                <c:pt idx="26">
                  <c:v>121.30055274953583</c:v>
                </c:pt>
                <c:pt idx="27">
                  <c:v>120.45192896637775</c:v>
                </c:pt>
                <c:pt idx="28">
                  <c:v>119.51716227973996</c:v>
                </c:pt>
                <c:pt idx="29">
                  <c:v>118.26848972034919</c:v>
                </c:pt>
                <c:pt idx="30">
                  <c:v>116.10426139049844</c:v>
                </c:pt>
                <c:pt idx="31">
                  <c:v>115.64067701042177</c:v>
                </c:pt>
                <c:pt idx="32">
                  <c:v>114.99849810492293</c:v>
                </c:pt>
                <c:pt idx="33">
                  <c:v>112.3926179871695</c:v>
                </c:pt>
                <c:pt idx="34">
                  <c:v>111.01894998678134</c:v>
                </c:pt>
                <c:pt idx="35">
                  <c:v>110.66450645246317</c:v>
                </c:pt>
                <c:pt idx="36">
                  <c:v>109.13824155061096</c:v>
                </c:pt>
                <c:pt idx="37">
                  <c:v>108.42358011224228</c:v>
                </c:pt>
                <c:pt idx="38">
                  <c:v>106.4485534896863</c:v>
                </c:pt>
                <c:pt idx="39">
                  <c:v>104.58523509126088</c:v>
                </c:pt>
                <c:pt idx="40">
                  <c:v>102.53885004489183</c:v>
                </c:pt>
                <c:pt idx="41">
                  <c:v>100.81164321064783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A75-F34A-8EBA-0FB3A320925A}"/>
            </c:ext>
          </c:extLst>
        </c:ser>
        <c:ser>
          <c:idx val="3"/>
          <c:order val="3"/>
          <c:tx>
            <c:v>Hydraulic Gradient 2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'MAIN ROUTE'!$F$44:$F$80</c:f>
              <c:numCache>
                <c:formatCode>General</c:formatCode>
                <c:ptCount val="37"/>
                <c:pt idx="0">
                  <c:v>17.040832659160948</c:v>
                </c:pt>
                <c:pt idx="1">
                  <c:v>17.885045418233272</c:v>
                </c:pt>
                <c:pt idx="2">
                  <c:v>18.400219349314998</c:v>
                </c:pt>
                <c:pt idx="3">
                  <c:v>19.183449140316956</c:v>
                </c:pt>
                <c:pt idx="4">
                  <c:v>20.2644582934496</c:v>
                </c:pt>
                <c:pt idx="5">
                  <c:v>21.519652986523337</c:v>
                </c:pt>
                <c:pt idx="6">
                  <c:v>22.0213105738144</c:v>
                </c:pt>
                <c:pt idx="7">
                  <c:v>23.486504738697885</c:v>
                </c:pt>
                <c:pt idx="8">
                  <c:v>24.115953610699826</c:v>
                </c:pt>
                <c:pt idx="9">
                  <c:v>25.191538727076427</c:v>
                </c:pt>
                <c:pt idx="10">
                  <c:v>26.048949540198983</c:v>
                </c:pt>
                <c:pt idx="11">
                  <c:v>27.080413150519657</c:v>
                </c:pt>
                <c:pt idx="12">
                  <c:v>27.978869961510647</c:v>
                </c:pt>
                <c:pt idx="13">
                  <c:v>28.920115920998089</c:v>
                </c:pt>
                <c:pt idx="14">
                  <c:v>29.405245899027683</c:v>
                </c:pt>
                <c:pt idx="15">
                  <c:v>30.107986329420115</c:v>
                </c:pt>
                <c:pt idx="16">
                  <c:v>31.357902915589463</c:v>
                </c:pt>
                <c:pt idx="17">
                  <c:v>32.459700589651405</c:v>
                </c:pt>
                <c:pt idx="18">
                  <c:v>33.673992053862513</c:v>
                </c:pt>
                <c:pt idx="19">
                  <c:v>34.687784901384752</c:v>
                </c:pt>
                <c:pt idx="20">
                  <c:v>35.559487792847875</c:v>
                </c:pt>
                <c:pt idx="21">
                  <c:v>36.662009088027276</c:v>
                </c:pt>
                <c:pt idx="22">
                  <c:v>37.806150202182593</c:v>
                </c:pt>
                <c:pt idx="23">
                  <c:v>39.142538564221852</c:v>
                </c:pt>
                <c:pt idx="24">
                  <c:v>40.036755254924373</c:v>
                </c:pt>
                <c:pt idx="25">
                  <c:v>40.149547737385859</c:v>
                </c:pt>
                <c:pt idx="26">
                  <c:v>40.851533720870506</c:v>
                </c:pt>
                <c:pt idx="27">
                  <c:v>41.603679476197343</c:v>
                </c:pt>
                <c:pt idx="28">
                  <c:v>42.024459718465543</c:v>
                </c:pt>
                <c:pt idx="29">
                  <c:v>42.82256284877684</c:v>
                </c:pt>
                <c:pt idx="30">
                  <c:v>43.433921717805063</c:v>
                </c:pt>
                <c:pt idx="31">
                  <c:v>44.045801348626917</c:v>
                </c:pt>
                <c:pt idx="32">
                  <c:v>44.437300225574731</c:v>
                </c:pt>
                <c:pt idx="33">
                  <c:v>44.926215023890421</c:v>
                </c:pt>
                <c:pt idx="34">
                  <c:v>45.530766851900147</c:v>
                </c:pt>
                <c:pt idx="35">
                  <c:v>46.039616307597839</c:v>
                </c:pt>
                <c:pt idx="36">
                  <c:v>46.284626840856035</c:v>
                </c:pt>
              </c:numCache>
            </c:numRef>
          </c:xVal>
          <c:yVal>
            <c:numRef>
              <c:f>'MAIN ROUTE'!$C$242:$C$274</c:f>
              <c:numCache>
                <c:formatCode>General</c:formatCode>
                <c:ptCount val="33"/>
                <c:pt idx="0">
                  <c:v>180.81164321064784</c:v>
                </c:pt>
                <c:pt idx="1">
                  <c:v>180.04711546646374</c:v>
                </c:pt>
                <c:pt idx="2">
                  <c:v>179.5307476809181</c:v>
                </c:pt>
                <c:pt idx="3">
                  <c:v>178.87393895879023</c:v>
                </c:pt>
                <c:pt idx="4">
                  <c:v>177.52745313397199</c:v>
                </c:pt>
                <c:pt idx="5">
                  <c:v>176.65142719731165</c:v>
                </c:pt>
                <c:pt idx="6">
                  <c:v>175.00302716330035</c:v>
                </c:pt>
                <c:pt idx="7">
                  <c:v>173.67211742359029</c:v>
                </c:pt>
                <c:pt idx="8">
                  <c:v>172.17604212805946</c:v>
                </c:pt>
                <c:pt idx="9">
                  <c:v>170.02711426294388</c:v>
                </c:pt>
                <c:pt idx="10">
                  <c:v>168.37899623338393</c:v>
                </c:pt>
                <c:pt idx="11">
                  <c:v>166.44372054586944</c:v>
                </c:pt>
                <c:pt idx="12">
                  <c:v>165.77674232614029</c:v>
                </c:pt>
                <c:pt idx="13">
                  <c:v>165.29100727269361</c:v>
                </c:pt>
                <c:pt idx="14">
                  <c:v>164.36807406879177</c:v>
                </c:pt>
                <c:pt idx="15">
                  <c:v>163.8091270317536</c:v>
                </c:pt>
                <c:pt idx="16">
                  <c:v>162.39623811853517</c:v>
                </c:pt>
                <c:pt idx="17">
                  <c:v>162.0229646901179</c:v>
                </c:pt>
                <c:pt idx="18">
                  <c:v>160.61401302101342</c:v>
                </c:pt>
                <c:pt idx="19">
                  <c:v>159.18964402153335</c:v>
                </c:pt>
                <c:pt idx="20">
                  <c:v>158.76212008063112</c:v>
                </c:pt>
                <c:pt idx="21">
                  <c:v>158.22829718891873</c:v>
                </c:pt>
                <c:pt idx="22">
                  <c:v>157.37437970953212</c:v>
                </c:pt>
                <c:pt idx="23">
                  <c:v>156.38498837917416</c:v>
                </c:pt>
                <c:pt idx="24">
                  <c:v>155.43132980997342</c:v>
                </c:pt>
                <c:pt idx="25">
                  <c:v>154.73328279017531</c:v>
                </c:pt>
                <c:pt idx="26">
                  <c:v>153.71219596018366</c:v>
                </c:pt>
                <c:pt idx="27">
                  <c:v>152.86357217702559</c:v>
                </c:pt>
                <c:pt idx="28">
                  <c:v>151.92880549038782</c:v>
                </c:pt>
                <c:pt idx="29">
                  <c:v>150.68013293099705</c:v>
                </c:pt>
                <c:pt idx="30">
                  <c:v>148.51590460114627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A75-F34A-8EBA-0FB3A320925A}"/>
            </c:ext>
          </c:extLst>
        </c:ser>
        <c:ser>
          <c:idx val="4"/>
          <c:order val="4"/>
          <c:tx>
            <c:v>Hydraulic Gradient 3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'MAIN ROUTE'!$F$74:$F$80</c:f>
              <c:numCache>
                <c:formatCode>General</c:formatCode>
                <c:ptCount val="7"/>
                <c:pt idx="0">
                  <c:v>43.433921717805063</c:v>
                </c:pt>
                <c:pt idx="1">
                  <c:v>44.045801348626917</c:v>
                </c:pt>
                <c:pt idx="2">
                  <c:v>44.437300225574731</c:v>
                </c:pt>
                <c:pt idx="3">
                  <c:v>44.926215023890421</c:v>
                </c:pt>
                <c:pt idx="4">
                  <c:v>45.530766851900147</c:v>
                </c:pt>
                <c:pt idx="5">
                  <c:v>46.039616307597839</c:v>
                </c:pt>
                <c:pt idx="6">
                  <c:v>46.284626840856035</c:v>
                </c:pt>
              </c:numCache>
            </c:numRef>
          </c:xVal>
          <c:yVal>
            <c:numRef>
              <c:f>'MAIN ROUTE'!$E$159:$E$165</c:f>
              <c:numCache>
                <c:formatCode>General</c:formatCode>
                <c:ptCount val="7"/>
                <c:pt idx="0">
                  <c:v>219.93697355582719</c:v>
                </c:pt>
                <c:pt idx="1">
                  <c:v>219.47954093072053</c:v>
                </c:pt>
                <c:pt idx="2">
                  <c:v>219.17058749710154</c:v>
                </c:pt>
                <c:pt idx="3">
                  <c:v>218.77760537154569</c:v>
                </c:pt>
                <c:pt idx="4">
                  <c:v>217.97197529441513</c:v>
                </c:pt>
                <c:pt idx="5">
                  <c:v>217.44783101460783</c:v>
                </c:pt>
                <c:pt idx="6">
                  <c:v>216.46155947571376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A75-F34A-8EBA-0FB3A32092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796288"/>
        <c:axId val="90671568"/>
      </c:scatterChart>
      <c:valAx>
        <c:axId val="90796288"/>
        <c:scaling>
          <c:orientation val="minMax"/>
          <c:max val="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Chainage (km)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N"/>
          </a:p>
        </c:txPr>
        <c:crossAx val="90671568"/>
        <c:crosses val="autoZero"/>
        <c:crossBetween val="midCat"/>
      </c:valAx>
      <c:valAx>
        <c:axId val="90671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Height (m)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N"/>
          </a:p>
        </c:txPr>
        <c:crossAx val="9079628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N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Hydraulic Profile (PN16 630 mm) </a:t>
            </a:r>
          </a:p>
        </c:rich>
      </c:tx>
      <c:layout>
        <c:manualLayout>
          <c:xMode val="edge"/>
          <c:yMode val="edge"/>
          <c:x val="0.28844849701057684"/>
          <c:y val="1.64243167643281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Pipe Invert Level</c:v>
          </c:tx>
          <c:spPr>
            <a:ln w="19050" cap="rnd">
              <a:solidFill>
                <a:srgbClr val="00B0F0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'MAIN ROUTE'!$F$2:$F$80</c:f>
              <c:numCache>
                <c:formatCode>General</c:formatCode>
                <c:ptCount val="79"/>
                <c:pt idx="0">
                  <c:v>0</c:v>
                </c:pt>
                <c:pt idx="1">
                  <c:v>0.26750445912670062</c:v>
                </c:pt>
                <c:pt idx="2">
                  <c:v>0.44817898171090326</c:v>
                </c:pt>
                <c:pt idx="3">
                  <c:v>0.67799309022309617</c:v>
                </c:pt>
                <c:pt idx="4">
                  <c:v>1.1491217902994593</c:v>
                </c:pt>
                <c:pt idx="5">
                  <c:v>1.4556389129937735</c:v>
                </c:pt>
                <c:pt idx="6">
                  <c:v>2.0324058948031816</c:v>
                </c:pt>
                <c:pt idx="7">
                  <c:v>2.4980846000901136</c:v>
                </c:pt>
                <c:pt idx="8">
                  <c:v>3.0215539127321129</c:v>
                </c:pt>
                <c:pt idx="9">
                  <c:v>3.7734530957676613</c:v>
                </c:pt>
                <c:pt idx="10">
                  <c:v>4.3501214056206861</c:v>
                </c:pt>
                <c:pt idx="11">
                  <c:v>5.0272647532464694</c:v>
                </c:pt>
                <c:pt idx="12">
                  <c:v>5.2606371184421068</c:v>
                </c:pt>
                <c:pt idx="13">
                  <c:v>5.4305934002639003</c:v>
                </c:pt>
                <c:pt idx="14">
                  <c:v>5.7535231427068174</c:v>
                </c:pt>
                <c:pt idx="15">
                  <c:v>5.9490959338328331</c:v>
                </c:pt>
                <c:pt idx="16">
                  <c:v>6.4434587446160583</c:v>
                </c:pt>
                <c:pt idx="17">
                  <c:v>6.5740652626066964</c:v>
                </c:pt>
                <c:pt idx="18">
                  <c:v>7.0670504512366756</c:v>
                </c:pt>
                <c:pt idx="19">
                  <c:v>7.5654300871639286</c:v>
                </c:pt>
                <c:pt idx="20">
                  <c:v>7.7150185899288717</c:v>
                </c:pt>
                <c:pt idx="21">
                  <c:v>7.9018005674349618</c:v>
                </c:pt>
                <c:pt idx="22">
                  <c:v>8.2005820507752745</c:v>
                </c:pt>
                <c:pt idx="23">
                  <c:v>8.5467651614673503</c:v>
                </c:pt>
                <c:pt idx="24">
                  <c:v>8.8804455565690805</c:v>
                </c:pt>
                <c:pt idx="25">
                  <c:v>9.1246887405432222</c:v>
                </c:pt>
                <c:pt idx="26">
                  <c:v>9.4819619490777391</c:v>
                </c:pt>
                <c:pt idx="27">
                  <c:v>9.7788911944094643</c:v>
                </c:pt>
                <c:pt idx="28">
                  <c:v>10.105961413666913</c:v>
                </c:pt>
                <c:pt idx="29">
                  <c:v>10.542865738156337</c:v>
                </c:pt>
                <c:pt idx="30">
                  <c:v>11.300118477782217</c:v>
                </c:pt>
                <c:pt idx="31">
                  <c:v>11.462324349047668</c:v>
                </c:pt>
                <c:pt idx="32">
                  <c:v>11.687019557409752</c:v>
                </c:pt>
                <c:pt idx="33">
                  <c:v>12.598804063271693</c:v>
                </c:pt>
                <c:pt idx="34">
                  <c:v>13.079443671525079</c:v>
                </c:pt>
                <c:pt idx="35">
                  <c:v>13.203461703126955</c:v>
                </c:pt>
                <c:pt idx="36">
                  <c:v>13.737494209023463</c:v>
                </c:pt>
                <c:pt idx="37">
                  <c:v>13.987550695506553</c:v>
                </c:pt>
                <c:pt idx="38">
                  <c:v>14.678602697800457</c:v>
                </c:pt>
                <c:pt idx="39">
                  <c:v>15.330568547494446</c:v>
                </c:pt>
                <c:pt idx="40">
                  <c:v>16.046588507735539</c:v>
                </c:pt>
                <c:pt idx="41">
                  <c:v>16.650929597394043</c:v>
                </c:pt>
                <c:pt idx="42">
                  <c:v>17.040832659160948</c:v>
                </c:pt>
                <c:pt idx="43">
                  <c:v>17.885045418233272</c:v>
                </c:pt>
                <c:pt idx="44">
                  <c:v>18.400219349314998</c:v>
                </c:pt>
                <c:pt idx="45">
                  <c:v>19.183449140316956</c:v>
                </c:pt>
                <c:pt idx="46">
                  <c:v>20.2644582934496</c:v>
                </c:pt>
                <c:pt idx="47">
                  <c:v>21.519652986523337</c:v>
                </c:pt>
                <c:pt idx="48">
                  <c:v>22.0213105738144</c:v>
                </c:pt>
                <c:pt idx="49">
                  <c:v>23.486504738697885</c:v>
                </c:pt>
                <c:pt idx="50">
                  <c:v>24.115953610699826</c:v>
                </c:pt>
                <c:pt idx="51">
                  <c:v>25.191538727076427</c:v>
                </c:pt>
                <c:pt idx="52">
                  <c:v>26.048949540198983</c:v>
                </c:pt>
                <c:pt idx="53">
                  <c:v>27.080413150519657</c:v>
                </c:pt>
                <c:pt idx="54">
                  <c:v>27.978869961510647</c:v>
                </c:pt>
                <c:pt idx="55">
                  <c:v>28.920115920998089</c:v>
                </c:pt>
                <c:pt idx="56">
                  <c:v>29.405245899027683</c:v>
                </c:pt>
                <c:pt idx="57">
                  <c:v>30.107986329420115</c:v>
                </c:pt>
                <c:pt idx="58">
                  <c:v>31.357902915589463</c:v>
                </c:pt>
                <c:pt idx="59">
                  <c:v>32.459700589651405</c:v>
                </c:pt>
                <c:pt idx="60">
                  <c:v>33.673992053862513</c:v>
                </c:pt>
                <c:pt idx="61">
                  <c:v>34.687784901384752</c:v>
                </c:pt>
                <c:pt idx="62">
                  <c:v>35.559487792847875</c:v>
                </c:pt>
                <c:pt idx="63">
                  <c:v>36.662009088027276</c:v>
                </c:pt>
                <c:pt idx="64">
                  <c:v>37.806150202182593</c:v>
                </c:pt>
                <c:pt idx="65">
                  <c:v>39.142538564221852</c:v>
                </c:pt>
                <c:pt idx="66">
                  <c:v>40.036755254924373</c:v>
                </c:pt>
                <c:pt idx="67">
                  <c:v>40.149547737385859</c:v>
                </c:pt>
                <c:pt idx="68">
                  <c:v>40.851533720870506</c:v>
                </c:pt>
                <c:pt idx="69">
                  <c:v>41.603679476197343</c:v>
                </c:pt>
                <c:pt idx="70">
                  <c:v>42.024459718465543</c:v>
                </c:pt>
                <c:pt idx="71">
                  <c:v>42.82256284877684</c:v>
                </c:pt>
                <c:pt idx="72">
                  <c:v>43.433921717805063</c:v>
                </c:pt>
                <c:pt idx="73">
                  <c:v>44.045801348626917</c:v>
                </c:pt>
                <c:pt idx="74">
                  <c:v>44.437300225574731</c:v>
                </c:pt>
                <c:pt idx="75">
                  <c:v>44.926215023890421</c:v>
                </c:pt>
                <c:pt idx="76">
                  <c:v>45.530766851900147</c:v>
                </c:pt>
                <c:pt idx="77">
                  <c:v>46.039616307597839</c:v>
                </c:pt>
                <c:pt idx="78">
                  <c:v>46.284626840856035</c:v>
                </c:pt>
              </c:numCache>
            </c:numRef>
          </c:xVal>
          <c:yVal>
            <c:numRef>
              <c:f>'MAIN ROUTE'!$C$2:$C$80</c:f>
              <c:numCache>
                <c:formatCode>General</c:formatCode>
                <c:ptCount val="79"/>
                <c:pt idx="0">
                  <c:v>98.4</c:v>
                </c:pt>
                <c:pt idx="1">
                  <c:v>101</c:v>
                </c:pt>
                <c:pt idx="2">
                  <c:v>103.5</c:v>
                </c:pt>
                <c:pt idx="3">
                  <c:v>105.9</c:v>
                </c:pt>
                <c:pt idx="4">
                  <c:v>88.3</c:v>
                </c:pt>
                <c:pt idx="5">
                  <c:v>66.3</c:v>
                </c:pt>
                <c:pt idx="6">
                  <c:v>52</c:v>
                </c:pt>
                <c:pt idx="7">
                  <c:v>50.1</c:v>
                </c:pt>
                <c:pt idx="8">
                  <c:v>46</c:v>
                </c:pt>
                <c:pt idx="9">
                  <c:v>49</c:v>
                </c:pt>
                <c:pt idx="10">
                  <c:v>58.9</c:v>
                </c:pt>
                <c:pt idx="11">
                  <c:v>64</c:v>
                </c:pt>
                <c:pt idx="12">
                  <c:v>60.5</c:v>
                </c:pt>
                <c:pt idx="13">
                  <c:v>58</c:v>
                </c:pt>
                <c:pt idx="14">
                  <c:v>56</c:v>
                </c:pt>
                <c:pt idx="15">
                  <c:v>56.1</c:v>
                </c:pt>
                <c:pt idx="16">
                  <c:v>58.8</c:v>
                </c:pt>
                <c:pt idx="17">
                  <c:v>54</c:v>
                </c:pt>
                <c:pt idx="18">
                  <c:v>53</c:v>
                </c:pt>
                <c:pt idx="19">
                  <c:v>55.2</c:v>
                </c:pt>
                <c:pt idx="20">
                  <c:v>59</c:v>
                </c:pt>
                <c:pt idx="21">
                  <c:v>61</c:v>
                </c:pt>
                <c:pt idx="22">
                  <c:v>57.2</c:v>
                </c:pt>
                <c:pt idx="23">
                  <c:v>57.3</c:v>
                </c:pt>
                <c:pt idx="24">
                  <c:v>56.2</c:v>
                </c:pt>
                <c:pt idx="25">
                  <c:v>58</c:v>
                </c:pt>
                <c:pt idx="26">
                  <c:v>56.6</c:v>
                </c:pt>
                <c:pt idx="27">
                  <c:v>55.2</c:v>
                </c:pt>
                <c:pt idx="28">
                  <c:v>54.8</c:v>
                </c:pt>
                <c:pt idx="29">
                  <c:v>52.6</c:v>
                </c:pt>
                <c:pt idx="30">
                  <c:v>52.8</c:v>
                </c:pt>
                <c:pt idx="31">
                  <c:v>51.1</c:v>
                </c:pt>
                <c:pt idx="32">
                  <c:v>53.6</c:v>
                </c:pt>
                <c:pt idx="33">
                  <c:v>69.099999999999994</c:v>
                </c:pt>
                <c:pt idx="34">
                  <c:v>63.4</c:v>
                </c:pt>
                <c:pt idx="35">
                  <c:v>61.3</c:v>
                </c:pt>
                <c:pt idx="36">
                  <c:v>57.2</c:v>
                </c:pt>
                <c:pt idx="37">
                  <c:v>65</c:v>
                </c:pt>
                <c:pt idx="38">
                  <c:v>52.6</c:v>
                </c:pt>
                <c:pt idx="39">
                  <c:v>52.7</c:v>
                </c:pt>
                <c:pt idx="40">
                  <c:v>83.6</c:v>
                </c:pt>
                <c:pt idx="41">
                  <c:v>106.8</c:v>
                </c:pt>
                <c:pt idx="42">
                  <c:v>113.7</c:v>
                </c:pt>
                <c:pt idx="43">
                  <c:v>133.5</c:v>
                </c:pt>
                <c:pt idx="44">
                  <c:v>136.4</c:v>
                </c:pt>
                <c:pt idx="45">
                  <c:v>131.69999999999999</c:v>
                </c:pt>
                <c:pt idx="46">
                  <c:v>140.6</c:v>
                </c:pt>
                <c:pt idx="47">
                  <c:v>172.2</c:v>
                </c:pt>
                <c:pt idx="48">
                  <c:v>173</c:v>
                </c:pt>
                <c:pt idx="49">
                  <c:v>150</c:v>
                </c:pt>
                <c:pt idx="50">
                  <c:v>156.6</c:v>
                </c:pt>
                <c:pt idx="51">
                  <c:v>120.7</c:v>
                </c:pt>
                <c:pt idx="52">
                  <c:v>87</c:v>
                </c:pt>
                <c:pt idx="53">
                  <c:v>93.3</c:v>
                </c:pt>
                <c:pt idx="54">
                  <c:v>91.9</c:v>
                </c:pt>
                <c:pt idx="55">
                  <c:v>100.3</c:v>
                </c:pt>
                <c:pt idx="56">
                  <c:v>125.8</c:v>
                </c:pt>
                <c:pt idx="57">
                  <c:v>142</c:v>
                </c:pt>
                <c:pt idx="58">
                  <c:v>106.1</c:v>
                </c:pt>
                <c:pt idx="59">
                  <c:v>68.2</c:v>
                </c:pt>
                <c:pt idx="60">
                  <c:v>94.3</c:v>
                </c:pt>
                <c:pt idx="61">
                  <c:v>100.5</c:v>
                </c:pt>
                <c:pt idx="62">
                  <c:v>68.900000000000006</c:v>
                </c:pt>
                <c:pt idx="63">
                  <c:v>65.3</c:v>
                </c:pt>
                <c:pt idx="64">
                  <c:v>47</c:v>
                </c:pt>
                <c:pt idx="65">
                  <c:v>65.400000000000006</c:v>
                </c:pt>
                <c:pt idx="66">
                  <c:v>87.3</c:v>
                </c:pt>
                <c:pt idx="67">
                  <c:v>81</c:v>
                </c:pt>
                <c:pt idx="68">
                  <c:v>82.7</c:v>
                </c:pt>
                <c:pt idx="69">
                  <c:v>94.1</c:v>
                </c:pt>
                <c:pt idx="70">
                  <c:v>104.6</c:v>
                </c:pt>
                <c:pt idx="71">
                  <c:v>140.6</c:v>
                </c:pt>
                <c:pt idx="72">
                  <c:v>140.5</c:v>
                </c:pt>
                <c:pt idx="73">
                  <c:v>186.2</c:v>
                </c:pt>
                <c:pt idx="74">
                  <c:v>187.7</c:v>
                </c:pt>
                <c:pt idx="75">
                  <c:v>176.8</c:v>
                </c:pt>
                <c:pt idx="76">
                  <c:v>162.6</c:v>
                </c:pt>
                <c:pt idx="77">
                  <c:v>209</c:v>
                </c:pt>
                <c:pt idx="78">
                  <c:v>193.1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C61-DA41-83DC-D63045E08EDA}"/>
            </c:ext>
          </c:extLst>
        </c:ser>
        <c:ser>
          <c:idx val="2"/>
          <c:order val="1"/>
          <c:tx>
            <c:v>Hydraulic Gradient 1</c:v>
          </c:tx>
          <c:spPr>
            <a:ln w="19050" cap="rnd">
              <a:solidFill>
                <a:srgbClr val="FF0000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'MAIN ROUTE'!$F$2:$F$80</c:f>
              <c:numCache>
                <c:formatCode>General</c:formatCode>
                <c:ptCount val="79"/>
                <c:pt idx="0">
                  <c:v>0</c:v>
                </c:pt>
                <c:pt idx="1">
                  <c:v>0.26750445912670062</c:v>
                </c:pt>
                <c:pt idx="2">
                  <c:v>0.44817898171090326</c:v>
                </c:pt>
                <c:pt idx="3">
                  <c:v>0.67799309022309617</c:v>
                </c:pt>
                <c:pt idx="4">
                  <c:v>1.1491217902994593</c:v>
                </c:pt>
                <c:pt idx="5">
                  <c:v>1.4556389129937735</c:v>
                </c:pt>
                <c:pt idx="6">
                  <c:v>2.0324058948031816</c:v>
                </c:pt>
                <c:pt idx="7">
                  <c:v>2.4980846000901136</c:v>
                </c:pt>
                <c:pt idx="8">
                  <c:v>3.0215539127321129</c:v>
                </c:pt>
                <c:pt idx="9">
                  <c:v>3.7734530957676613</c:v>
                </c:pt>
                <c:pt idx="10">
                  <c:v>4.3501214056206861</c:v>
                </c:pt>
                <c:pt idx="11">
                  <c:v>5.0272647532464694</c:v>
                </c:pt>
                <c:pt idx="12">
                  <c:v>5.2606371184421068</c:v>
                </c:pt>
                <c:pt idx="13">
                  <c:v>5.4305934002639003</c:v>
                </c:pt>
                <c:pt idx="14">
                  <c:v>5.7535231427068174</c:v>
                </c:pt>
                <c:pt idx="15">
                  <c:v>5.9490959338328331</c:v>
                </c:pt>
                <c:pt idx="16">
                  <c:v>6.4434587446160583</c:v>
                </c:pt>
                <c:pt idx="17">
                  <c:v>6.5740652626066964</c:v>
                </c:pt>
                <c:pt idx="18">
                  <c:v>7.0670504512366756</c:v>
                </c:pt>
                <c:pt idx="19">
                  <c:v>7.5654300871639286</c:v>
                </c:pt>
                <c:pt idx="20">
                  <c:v>7.7150185899288717</c:v>
                </c:pt>
                <c:pt idx="21">
                  <c:v>7.9018005674349618</c:v>
                </c:pt>
                <c:pt idx="22">
                  <c:v>8.2005820507752745</c:v>
                </c:pt>
                <c:pt idx="23">
                  <c:v>8.5467651614673503</c:v>
                </c:pt>
                <c:pt idx="24">
                  <c:v>8.8804455565690805</c:v>
                </c:pt>
                <c:pt idx="25">
                  <c:v>9.1246887405432222</c:v>
                </c:pt>
                <c:pt idx="26">
                  <c:v>9.4819619490777391</c:v>
                </c:pt>
                <c:pt idx="27">
                  <c:v>9.7788911944094643</c:v>
                </c:pt>
                <c:pt idx="28">
                  <c:v>10.105961413666913</c:v>
                </c:pt>
                <c:pt idx="29">
                  <c:v>10.542865738156337</c:v>
                </c:pt>
                <c:pt idx="30">
                  <c:v>11.300118477782217</c:v>
                </c:pt>
                <c:pt idx="31">
                  <c:v>11.462324349047668</c:v>
                </c:pt>
                <c:pt idx="32">
                  <c:v>11.687019557409752</c:v>
                </c:pt>
                <c:pt idx="33">
                  <c:v>12.598804063271693</c:v>
                </c:pt>
                <c:pt idx="34">
                  <c:v>13.079443671525079</c:v>
                </c:pt>
                <c:pt idx="35">
                  <c:v>13.203461703126955</c:v>
                </c:pt>
                <c:pt idx="36">
                  <c:v>13.737494209023463</c:v>
                </c:pt>
                <c:pt idx="37">
                  <c:v>13.987550695506553</c:v>
                </c:pt>
                <c:pt idx="38">
                  <c:v>14.678602697800457</c:v>
                </c:pt>
                <c:pt idx="39">
                  <c:v>15.330568547494446</c:v>
                </c:pt>
                <c:pt idx="40">
                  <c:v>16.046588507735539</c:v>
                </c:pt>
                <c:pt idx="41">
                  <c:v>16.650929597394043</c:v>
                </c:pt>
                <c:pt idx="42">
                  <c:v>17.040832659160948</c:v>
                </c:pt>
                <c:pt idx="43">
                  <c:v>17.885045418233272</c:v>
                </c:pt>
                <c:pt idx="44">
                  <c:v>18.400219349314998</c:v>
                </c:pt>
                <c:pt idx="45">
                  <c:v>19.183449140316956</c:v>
                </c:pt>
                <c:pt idx="46">
                  <c:v>20.2644582934496</c:v>
                </c:pt>
                <c:pt idx="47">
                  <c:v>21.519652986523337</c:v>
                </c:pt>
                <c:pt idx="48">
                  <c:v>22.0213105738144</c:v>
                </c:pt>
                <c:pt idx="49">
                  <c:v>23.486504738697885</c:v>
                </c:pt>
                <c:pt idx="50">
                  <c:v>24.115953610699826</c:v>
                </c:pt>
                <c:pt idx="51">
                  <c:v>25.191538727076427</c:v>
                </c:pt>
                <c:pt idx="52">
                  <c:v>26.048949540198983</c:v>
                </c:pt>
                <c:pt idx="53">
                  <c:v>27.080413150519657</c:v>
                </c:pt>
                <c:pt idx="54">
                  <c:v>27.978869961510647</c:v>
                </c:pt>
                <c:pt idx="55">
                  <c:v>28.920115920998089</c:v>
                </c:pt>
                <c:pt idx="56">
                  <c:v>29.405245899027683</c:v>
                </c:pt>
                <c:pt idx="57">
                  <c:v>30.107986329420115</c:v>
                </c:pt>
                <c:pt idx="58">
                  <c:v>31.357902915589463</c:v>
                </c:pt>
                <c:pt idx="59">
                  <c:v>32.459700589651405</c:v>
                </c:pt>
                <c:pt idx="60">
                  <c:v>33.673992053862513</c:v>
                </c:pt>
                <c:pt idx="61">
                  <c:v>34.687784901384752</c:v>
                </c:pt>
                <c:pt idx="62">
                  <c:v>35.559487792847875</c:v>
                </c:pt>
                <c:pt idx="63">
                  <c:v>36.662009088027276</c:v>
                </c:pt>
                <c:pt idx="64">
                  <c:v>37.806150202182593</c:v>
                </c:pt>
                <c:pt idx="65">
                  <c:v>39.142538564221852</c:v>
                </c:pt>
                <c:pt idx="66">
                  <c:v>40.036755254924373</c:v>
                </c:pt>
                <c:pt idx="67">
                  <c:v>40.149547737385859</c:v>
                </c:pt>
                <c:pt idx="68">
                  <c:v>40.851533720870506</c:v>
                </c:pt>
                <c:pt idx="69">
                  <c:v>41.603679476197343</c:v>
                </c:pt>
                <c:pt idx="70">
                  <c:v>42.024459718465543</c:v>
                </c:pt>
                <c:pt idx="71">
                  <c:v>42.82256284877684</c:v>
                </c:pt>
                <c:pt idx="72">
                  <c:v>43.433921717805063</c:v>
                </c:pt>
                <c:pt idx="73">
                  <c:v>44.045801348626917</c:v>
                </c:pt>
                <c:pt idx="74">
                  <c:v>44.437300225574731</c:v>
                </c:pt>
                <c:pt idx="75">
                  <c:v>44.926215023890421</c:v>
                </c:pt>
                <c:pt idx="76">
                  <c:v>45.530766851900147</c:v>
                </c:pt>
                <c:pt idx="77">
                  <c:v>46.039616307597839</c:v>
                </c:pt>
                <c:pt idx="78">
                  <c:v>46.284626840856035</c:v>
                </c:pt>
              </c:numCache>
            </c:numRef>
          </c:xVal>
          <c:yVal>
            <c:numRef>
              <c:f>'MAIN ROUTE'!$G$201:$G$250</c:f>
              <c:numCache>
                <c:formatCode>General</c:formatCode>
                <c:ptCount val="50"/>
                <c:pt idx="0">
                  <c:v>198.4</c:v>
                </c:pt>
                <c:pt idx="1">
                  <c:v>197.67238787117537</c:v>
                </c:pt>
                <c:pt idx="2">
                  <c:v>197.18095316974635</c:v>
                </c:pt>
                <c:pt idx="3">
                  <c:v>196.55585879459318</c:v>
                </c:pt>
                <c:pt idx="4">
                  <c:v>195.27438873038548</c:v>
                </c:pt>
                <c:pt idx="5">
                  <c:v>194.44066215665694</c:v>
                </c:pt>
                <c:pt idx="6">
                  <c:v>192.87185596613534</c:v>
                </c:pt>
                <c:pt idx="7">
                  <c:v>191.60520988775491</c:v>
                </c:pt>
                <c:pt idx="8">
                  <c:v>190.18137335736867</c:v>
                </c:pt>
                <c:pt idx="9">
                  <c:v>188.13620757951196</c:v>
                </c:pt>
                <c:pt idx="10">
                  <c:v>186.56766977671174</c:v>
                </c:pt>
                <c:pt idx="11">
                  <c:v>184.7258398711696</c:v>
                </c:pt>
                <c:pt idx="12">
                  <c:v>184.09106703783746</c:v>
                </c:pt>
                <c:pt idx="13">
                  <c:v>183.6287859512822</c:v>
                </c:pt>
                <c:pt idx="14">
                  <c:v>182.75041705183747</c:v>
                </c:pt>
                <c:pt idx="15">
                  <c:v>182.21845905997469</c:v>
                </c:pt>
                <c:pt idx="16">
                  <c:v>180.87379221464434</c:v>
                </c:pt>
                <c:pt idx="17">
                  <c:v>180.51854248570979</c:v>
                </c:pt>
                <c:pt idx="18">
                  <c:v>179.17762277263625</c:v>
                </c:pt>
                <c:pt idx="19">
                  <c:v>177.82203016291413</c:v>
                </c:pt>
                <c:pt idx="20">
                  <c:v>177.41514943539346</c:v>
                </c:pt>
                <c:pt idx="21">
                  <c:v>176.90710245657692</c:v>
                </c:pt>
                <c:pt idx="22">
                  <c:v>176.09441682189126</c:v>
                </c:pt>
                <c:pt idx="23">
                  <c:v>175.15279876080882</c:v>
                </c:pt>
                <c:pt idx="24">
                  <c:v>174.24518808613212</c:v>
                </c:pt>
                <c:pt idx="25">
                  <c:v>173.58084662572244</c:v>
                </c:pt>
                <c:pt idx="26">
                  <c:v>172.60906349850856</c:v>
                </c:pt>
                <c:pt idx="27">
                  <c:v>171.80141595120625</c:v>
                </c:pt>
                <c:pt idx="28">
                  <c:v>170.911784954826</c:v>
                </c:pt>
                <c:pt idx="29">
                  <c:v>169.72340519221476</c:v>
                </c:pt>
                <c:pt idx="30">
                  <c:v>167.66367774043238</c:v>
                </c:pt>
                <c:pt idx="31">
                  <c:v>167.22247777059036</c:v>
                </c:pt>
                <c:pt idx="32">
                  <c:v>166.61130680384548</c:v>
                </c:pt>
                <c:pt idx="33">
                  <c:v>164.131252947901</c:v>
                </c:pt>
                <c:pt idx="34">
                  <c:v>162.82391321345179</c:v>
                </c:pt>
                <c:pt idx="35">
                  <c:v>162.4865841674947</c:v>
                </c:pt>
                <c:pt idx="36">
                  <c:v>161.0340157514562</c:v>
                </c:pt>
                <c:pt idx="37">
                  <c:v>160.35386210822219</c:v>
                </c:pt>
                <c:pt idx="38">
                  <c:v>158.47420066198276</c:v>
                </c:pt>
                <c:pt idx="39">
                  <c:v>156.70085355081511</c:v>
                </c:pt>
                <c:pt idx="40">
                  <c:v>154.75327925895934</c:v>
                </c:pt>
                <c:pt idx="41">
                  <c:v>153.1094714950882</c:v>
                </c:pt>
                <c:pt idx="42">
                  <c:v>152.04893516708222</c:v>
                </c:pt>
                <c:pt idx="43">
                  <c:v>149.7526764624055</c:v>
                </c:pt>
                <c:pt idx="44">
                  <c:v>148.35140336986319</c:v>
                </c:pt>
                <c:pt idx="45">
                  <c:v>146.2210183383379</c:v>
                </c:pt>
                <c:pt idx="46">
                  <c:v>143.2806734418171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C61-DA41-83DC-D63045E08EDA}"/>
            </c:ext>
          </c:extLst>
        </c:ser>
        <c:ser>
          <c:idx val="3"/>
          <c:order val="2"/>
          <c:tx>
            <c:v>Hydraulic Gradient 2</c:v>
          </c:tx>
          <c:spPr>
            <a:ln w="19050" cap="rnd">
              <a:solidFill>
                <a:srgbClr val="92D050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'MAIN ROUTE'!$F$48:$F$80</c:f>
              <c:numCache>
                <c:formatCode>General</c:formatCode>
                <c:ptCount val="33"/>
                <c:pt idx="0">
                  <c:v>20.2644582934496</c:v>
                </c:pt>
                <c:pt idx="1">
                  <c:v>21.519652986523337</c:v>
                </c:pt>
                <c:pt idx="2">
                  <c:v>22.0213105738144</c:v>
                </c:pt>
                <c:pt idx="3">
                  <c:v>23.486504738697885</c:v>
                </c:pt>
                <c:pt idx="4">
                  <c:v>24.115953610699826</c:v>
                </c:pt>
                <c:pt idx="5">
                  <c:v>25.191538727076427</c:v>
                </c:pt>
                <c:pt idx="6">
                  <c:v>26.048949540198983</c:v>
                </c:pt>
                <c:pt idx="7">
                  <c:v>27.080413150519657</c:v>
                </c:pt>
                <c:pt idx="8">
                  <c:v>27.978869961510647</c:v>
                </c:pt>
                <c:pt idx="9">
                  <c:v>28.920115920998089</c:v>
                </c:pt>
                <c:pt idx="10">
                  <c:v>29.405245899027683</c:v>
                </c:pt>
                <c:pt idx="11">
                  <c:v>30.107986329420115</c:v>
                </c:pt>
                <c:pt idx="12">
                  <c:v>31.357902915589463</c:v>
                </c:pt>
                <c:pt idx="13">
                  <c:v>32.459700589651405</c:v>
                </c:pt>
                <c:pt idx="14">
                  <c:v>33.673992053862513</c:v>
                </c:pt>
                <c:pt idx="15">
                  <c:v>34.687784901384752</c:v>
                </c:pt>
                <c:pt idx="16">
                  <c:v>35.559487792847875</c:v>
                </c:pt>
                <c:pt idx="17">
                  <c:v>36.662009088027276</c:v>
                </c:pt>
                <c:pt idx="18">
                  <c:v>37.806150202182593</c:v>
                </c:pt>
                <c:pt idx="19">
                  <c:v>39.142538564221852</c:v>
                </c:pt>
                <c:pt idx="20">
                  <c:v>40.036755254924373</c:v>
                </c:pt>
                <c:pt idx="21">
                  <c:v>40.149547737385859</c:v>
                </c:pt>
                <c:pt idx="22">
                  <c:v>40.851533720870506</c:v>
                </c:pt>
                <c:pt idx="23">
                  <c:v>41.603679476197343</c:v>
                </c:pt>
                <c:pt idx="24">
                  <c:v>42.024459718465543</c:v>
                </c:pt>
                <c:pt idx="25">
                  <c:v>42.82256284877684</c:v>
                </c:pt>
                <c:pt idx="26">
                  <c:v>43.433921717805063</c:v>
                </c:pt>
                <c:pt idx="27">
                  <c:v>44.045801348626917</c:v>
                </c:pt>
                <c:pt idx="28">
                  <c:v>44.437300225574731</c:v>
                </c:pt>
                <c:pt idx="29">
                  <c:v>44.926215023890421</c:v>
                </c:pt>
                <c:pt idx="30">
                  <c:v>45.530766851900147</c:v>
                </c:pt>
                <c:pt idx="31">
                  <c:v>46.039616307597839</c:v>
                </c:pt>
                <c:pt idx="32">
                  <c:v>46.284626840856035</c:v>
                </c:pt>
              </c:numCache>
            </c:numRef>
          </c:xVal>
          <c:yVal>
            <c:numRef>
              <c:f>'MAIN ROUTE'!$H$247:$H$281</c:f>
              <c:numCache>
                <c:formatCode>General</c:formatCode>
                <c:ptCount val="35"/>
                <c:pt idx="0">
                  <c:v>193.2806734418171</c:v>
                </c:pt>
                <c:pt idx="1">
                  <c:v>192.55306131299247</c:v>
                </c:pt>
                <c:pt idx="2">
                  <c:v>192.06162661156344</c:v>
                </c:pt>
                <c:pt idx="3">
                  <c:v>191.43653223641027</c:v>
                </c:pt>
                <c:pt idx="4">
                  <c:v>190.15506217220258</c:v>
                </c:pt>
                <c:pt idx="5">
                  <c:v>189.32133559847404</c:v>
                </c:pt>
                <c:pt idx="6">
                  <c:v>187.75252940795244</c:v>
                </c:pt>
                <c:pt idx="7">
                  <c:v>186.485883329572</c:v>
                </c:pt>
                <c:pt idx="8">
                  <c:v>185.06204679918577</c:v>
                </c:pt>
                <c:pt idx="9">
                  <c:v>183.01688102132906</c:v>
                </c:pt>
                <c:pt idx="10">
                  <c:v>181.44834321852883</c:v>
                </c:pt>
                <c:pt idx="11">
                  <c:v>179.60651331298669</c:v>
                </c:pt>
                <c:pt idx="12">
                  <c:v>178.97174047965456</c:v>
                </c:pt>
                <c:pt idx="13">
                  <c:v>178.50945939309929</c:v>
                </c:pt>
                <c:pt idx="14">
                  <c:v>177.63109049365457</c:v>
                </c:pt>
                <c:pt idx="15">
                  <c:v>177.09913250179179</c:v>
                </c:pt>
                <c:pt idx="16">
                  <c:v>175.75446565646143</c:v>
                </c:pt>
                <c:pt idx="17">
                  <c:v>175.39921592752688</c:v>
                </c:pt>
                <c:pt idx="18">
                  <c:v>174.05829621445335</c:v>
                </c:pt>
                <c:pt idx="19">
                  <c:v>172.7027036047312</c:v>
                </c:pt>
                <c:pt idx="20">
                  <c:v>172.29582287721058</c:v>
                </c:pt>
                <c:pt idx="21">
                  <c:v>171.78777589839399</c:v>
                </c:pt>
                <c:pt idx="22">
                  <c:v>170.97509026370835</c:v>
                </c:pt>
                <c:pt idx="23">
                  <c:v>170.03347220262592</c:v>
                </c:pt>
                <c:pt idx="24">
                  <c:v>169.12586152794921</c:v>
                </c:pt>
                <c:pt idx="25">
                  <c:v>168.46152006753954</c:v>
                </c:pt>
                <c:pt idx="26">
                  <c:v>167.48973694032566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C61-DA41-83DC-D63045E08EDA}"/>
            </c:ext>
          </c:extLst>
        </c:ser>
        <c:ser>
          <c:idx val="4"/>
          <c:order val="3"/>
          <c:tx>
            <c:v>Hydraulic Gradient 3</c:v>
          </c:tx>
          <c:spPr>
            <a:ln w="19050" cap="rnd">
              <a:solidFill>
                <a:srgbClr val="002060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'MAIN ROUTE'!$F$75:$F$80</c:f>
              <c:numCache>
                <c:formatCode>General</c:formatCode>
                <c:ptCount val="6"/>
                <c:pt idx="0">
                  <c:v>44.045801348626917</c:v>
                </c:pt>
                <c:pt idx="1">
                  <c:v>44.437300225574731</c:v>
                </c:pt>
                <c:pt idx="2">
                  <c:v>44.926215023890421</c:v>
                </c:pt>
                <c:pt idx="3">
                  <c:v>45.530766851900147</c:v>
                </c:pt>
                <c:pt idx="4">
                  <c:v>46.039616307597839</c:v>
                </c:pt>
                <c:pt idx="5">
                  <c:v>46.284626840856035</c:v>
                </c:pt>
              </c:numCache>
            </c:numRef>
          </c:xVal>
          <c:yVal>
            <c:numRef>
              <c:f>'MAIN ROUTE'!$I$274:$I$283</c:f>
              <c:numCache>
                <c:formatCode>General</c:formatCode>
                <c:ptCount val="10"/>
                <c:pt idx="0">
                  <c:v>212.48973694032566</c:v>
                </c:pt>
                <c:pt idx="1">
                  <c:v>211.76212481150102</c:v>
                </c:pt>
                <c:pt idx="2">
                  <c:v>211.270690110072</c:v>
                </c:pt>
                <c:pt idx="3">
                  <c:v>210.64559573491883</c:v>
                </c:pt>
                <c:pt idx="4">
                  <c:v>209.36412567071113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C61-DA41-83DC-D63045E08E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796288"/>
        <c:axId val="90671568"/>
      </c:scatterChart>
      <c:valAx>
        <c:axId val="90796288"/>
        <c:scaling>
          <c:orientation val="minMax"/>
          <c:max val="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Chainage (km)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N"/>
          </a:p>
        </c:txPr>
        <c:crossAx val="90671568"/>
        <c:crosses val="autoZero"/>
        <c:crossBetween val="midCat"/>
      </c:valAx>
      <c:valAx>
        <c:axId val="90671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Head (m)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N"/>
          </a:p>
        </c:txPr>
        <c:crossAx val="9079628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N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25 Design</a:t>
            </a:r>
            <a:r>
              <a:rPr lang="en-GB" baseline="0"/>
              <a:t> Life of Pipe Sizing - Carbon Analysis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Capital Carbon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'Carbon Footprint'!$I$7:$I$17</c:f>
              <c:numCache>
                <c:formatCode>General</c:formatCode>
                <c:ptCount val="11"/>
                <c:pt idx="0">
                  <c:v>225</c:v>
                </c:pt>
                <c:pt idx="1">
                  <c:v>250</c:v>
                </c:pt>
                <c:pt idx="2">
                  <c:v>280</c:v>
                </c:pt>
                <c:pt idx="3">
                  <c:v>315</c:v>
                </c:pt>
                <c:pt idx="4">
                  <c:v>355</c:v>
                </c:pt>
                <c:pt idx="5">
                  <c:v>400</c:v>
                </c:pt>
                <c:pt idx="6">
                  <c:v>450</c:v>
                </c:pt>
                <c:pt idx="7">
                  <c:v>500</c:v>
                </c:pt>
                <c:pt idx="8">
                  <c:v>560</c:v>
                </c:pt>
                <c:pt idx="9">
                  <c:v>630</c:v>
                </c:pt>
                <c:pt idx="10">
                  <c:v>710</c:v>
                </c:pt>
              </c:numCache>
            </c:numRef>
          </c:xVal>
          <c:yVal>
            <c:numRef>
              <c:f>'Carbon Footprint'!$P$7:$P$17</c:f>
              <c:numCache>
                <c:formatCode>General</c:formatCode>
                <c:ptCount val="11"/>
                <c:pt idx="0">
                  <c:v>1476.2369510399196</c:v>
                </c:pt>
                <c:pt idx="1">
                  <c:v>1833.0211841070272</c:v>
                </c:pt>
                <c:pt idx="2">
                  <c:v>2297.3877823037919</c:v>
                </c:pt>
                <c:pt idx="3">
                  <c:v>2909.9212629911412</c:v>
                </c:pt>
                <c:pt idx="4">
                  <c:v>3692.5942487073689</c:v>
                </c:pt>
                <c:pt idx="5">
                  <c:v>4690.2081530062878</c:v>
                </c:pt>
                <c:pt idx="6">
                  <c:v>5944.2214245575387</c:v>
                </c:pt>
                <c:pt idx="7">
                  <c:v>7332.084736428109</c:v>
                </c:pt>
                <c:pt idx="8">
                  <c:v>9189.5511292151677</c:v>
                </c:pt>
                <c:pt idx="9">
                  <c:v>11639.685051964565</c:v>
                </c:pt>
                <c:pt idx="10">
                  <c:v>14791.020957573215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181-6949-90FE-60F4DFD4BAA6}"/>
            </c:ext>
          </c:extLst>
        </c:ser>
        <c:ser>
          <c:idx val="1"/>
          <c:order val="1"/>
          <c:tx>
            <c:v>Energy carbon cost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'Carbon Footprint'!$I$7:$I$17</c:f>
              <c:numCache>
                <c:formatCode>General</c:formatCode>
                <c:ptCount val="11"/>
                <c:pt idx="0">
                  <c:v>225</c:v>
                </c:pt>
                <c:pt idx="1">
                  <c:v>250</c:v>
                </c:pt>
                <c:pt idx="2">
                  <c:v>280</c:v>
                </c:pt>
                <c:pt idx="3">
                  <c:v>315</c:v>
                </c:pt>
                <c:pt idx="4">
                  <c:v>355</c:v>
                </c:pt>
                <c:pt idx="5">
                  <c:v>400</c:v>
                </c:pt>
                <c:pt idx="6">
                  <c:v>450</c:v>
                </c:pt>
                <c:pt idx="7">
                  <c:v>500</c:v>
                </c:pt>
                <c:pt idx="8">
                  <c:v>560</c:v>
                </c:pt>
                <c:pt idx="9">
                  <c:v>630</c:v>
                </c:pt>
                <c:pt idx="10">
                  <c:v>710</c:v>
                </c:pt>
              </c:numCache>
            </c:numRef>
          </c:xVal>
          <c:yVal>
            <c:numRef>
              <c:f>'Carbon Footprint'!$O$21:$O$31</c:f>
              <c:numCache>
                <c:formatCode>General</c:formatCode>
                <c:ptCount val="11"/>
                <c:pt idx="0">
                  <c:v>462454.15392098774</c:v>
                </c:pt>
                <c:pt idx="1">
                  <c:v>289829.06375792529</c:v>
                </c:pt>
                <c:pt idx="2">
                  <c:v>174238.55758963144</c:v>
                </c:pt>
                <c:pt idx="3">
                  <c:v>103016.82177931843</c:v>
                </c:pt>
                <c:pt idx="4">
                  <c:v>60403.556887648621</c:v>
                </c:pt>
                <c:pt idx="5">
                  <c:v>35546.259220458691</c:v>
                </c:pt>
                <c:pt idx="6">
                  <c:v>21109.256159761422</c:v>
                </c:pt>
                <c:pt idx="7">
                  <c:v>13224.952980137306</c:v>
                </c:pt>
                <c:pt idx="8">
                  <c:v>8005.0823603059353</c:v>
                </c:pt>
                <c:pt idx="9">
                  <c:v>4763.4286601751364</c:v>
                </c:pt>
                <c:pt idx="10">
                  <c:v>2813.8893005116106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1181-6949-90FE-60F4DFD4BAA6}"/>
            </c:ext>
          </c:extLst>
        </c:ser>
        <c:ser>
          <c:idx val="2"/>
          <c:order val="2"/>
          <c:tx>
            <c:v>Total Carbon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'Carbon Footprint'!$I$7:$I$17</c:f>
              <c:numCache>
                <c:formatCode>General</c:formatCode>
                <c:ptCount val="11"/>
                <c:pt idx="0">
                  <c:v>225</c:v>
                </c:pt>
                <c:pt idx="1">
                  <c:v>250</c:v>
                </c:pt>
                <c:pt idx="2">
                  <c:v>280</c:v>
                </c:pt>
                <c:pt idx="3">
                  <c:v>315</c:v>
                </c:pt>
                <c:pt idx="4">
                  <c:v>355</c:v>
                </c:pt>
                <c:pt idx="5">
                  <c:v>400</c:v>
                </c:pt>
                <c:pt idx="6">
                  <c:v>450</c:v>
                </c:pt>
                <c:pt idx="7">
                  <c:v>500</c:v>
                </c:pt>
                <c:pt idx="8">
                  <c:v>560</c:v>
                </c:pt>
                <c:pt idx="9">
                  <c:v>630</c:v>
                </c:pt>
                <c:pt idx="10">
                  <c:v>710</c:v>
                </c:pt>
              </c:numCache>
            </c:numRef>
          </c:xVal>
          <c:yVal>
            <c:numRef>
              <c:f>'Carbon Footprint'!$P$21:$P$31</c:f>
              <c:numCache>
                <c:formatCode>General</c:formatCode>
                <c:ptCount val="11"/>
                <c:pt idx="0">
                  <c:v>463930.39087202767</c:v>
                </c:pt>
                <c:pt idx="1">
                  <c:v>291662.08494203235</c:v>
                </c:pt>
                <c:pt idx="2">
                  <c:v>176535.94537193523</c:v>
                </c:pt>
                <c:pt idx="3">
                  <c:v>105926.74304230956</c:v>
                </c:pt>
                <c:pt idx="4">
                  <c:v>64096.151136355991</c:v>
                </c:pt>
                <c:pt idx="5">
                  <c:v>40236.467373464977</c:v>
                </c:pt>
                <c:pt idx="6">
                  <c:v>27053.47758431896</c:v>
                </c:pt>
                <c:pt idx="7">
                  <c:v>20557.037716565414</c:v>
                </c:pt>
                <c:pt idx="8">
                  <c:v>17194.633489521104</c:v>
                </c:pt>
                <c:pt idx="9">
                  <c:v>16403.113712139701</c:v>
                </c:pt>
                <c:pt idx="10">
                  <c:v>17604.910258084827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1181-6949-90FE-60F4DFD4BA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93935"/>
        <c:axId val="2126450784"/>
      </c:scatterChart>
      <c:valAx>
        <c:axId val="112939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Pipe Diameter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N"/>
          </a:p>
        </c:txPr>
        <c:crossAx val="2126450784"/>
        <c:crosses val="autoZero"/>
        <c:crossBetween val="midCat"/>
      </c:valAx>
      <c:valAx>
        <c:axId val="2126450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Operational Carbon Cost (tonnes CO2)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N"/>
          </a:p>
        </c:txPr>
        <c:crossAx val="1129393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361950</xdr:colOff>
      <xdr:row>24</xdr:row>
      <xdr:rowOff>120650</xdr:rowOff>
    </xdr:from>
    <xdr:to>
      <xdr:col>7</xdr:col>
      <xdr:colOff>1066800</xdr:colOff>
      <xdr:row>50</xdr:row>
      <xdr:rowOff>25400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8DC0A8F-334F-A54B-BE3E-9197B5C53B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317500</xdr:colOff>
      <xdr:row>79</xdr:row>
      <xdr:rowOff>101600</xdr:rowOff>
    </xdr:from>
    <xdr:to>
      <xdr:col>7</xdr:col>
      <xdr:colOff>1022350</xdr:colOff>
      <xdr:row>105</xdr:row>
      <xdr:rowOff>6350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982E6CD-7C18-724F-A4B8-D8A6A1EBEDE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152400</xdr:colOff>
      <xdr:row>131</xdr:row>
      <xdr:rowOff>127000</xdr:rowOff>
    </xdr:from>
    <xdr:to>
      <xdr:col>7</xdr:col>
      <xdr:colOff>857250</xdr:colOff>
      <xdr:row>157</xdr:row>
      <xdr:rowOff>31750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15D3153-80DB-1C4F-8CFF-0256E57C33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272184</xdr:colOff>
      <xdr:row>167</xdr:row>
      <xdr:rowOff>4329</xdr:rowOff>
    </xdr:from>
    <xdr:to>
      <xdr:col>5</xdr:col>
      <xdr:colOff>46183</xdr:colOff>
      <xdr:row>193</xdr:row>
      <xdr:rowOff>69273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5F2E54B-AF5B-404B-B6B6-55CA912644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115454</xdr:colOff>
      <xdr:row>166</xdr:row>
      <xdr:rowOff>150090</xdr:rowOff>
    </xdr:from>
    <xdr:to>
      <xdr:col>10</xdr:col>
      <xdr:colOff>131907</xdr:colOff>
      <xdr:row>193</xdr:row>
      <xdr:rowOff>23091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12A20CD-A9C0-8945-B3A5-CA294E041257}"/>
            </a:ext>
            <a:ext uri="{147F2762-F138-4A5C-976F-8EAC2B608ADB}">
              <a16:predDERef xmlns:a16="http://schemas.microsoft.com/office/drawing/2014/main" pred="{85F2E54B-AF5B-404B-B6B6-55CA912644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230910</xdr:colOff>
      <xdr:row>278</xdr:row>
      <xdr:rowOff>138546</xdr:rowOff>
    </xdr:from>
    <xdr:to>
      <xdr:col>5</xdr:col>
      <xdr:colOff>4909</xdr:colOff>
      <xdr:row>306</xdr:row>
      <xdr:rowOff>41854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759A0B1-0075-4F43-B266-327340E6A5AF}"/>
            </a:ext>
            <a:ext uri="{147F2762-F138-4A5C-976F-8EAC2B608ADB}">
              <a16:predDERef xmlns:a16="http://schemas.microsoft.com/office/drawing/2014/main" pred="{F12A20CD-A9C0-8945-B3A5-CA294E04125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161634</xdr:colOff>
      <xdr:row>279</xdr:row>
      <xdr:rowOff>11545</xdr:rowOff>
    </xdr:from>
    <xdr:to>
      <xdr:col>10</xdr:col>
      <xdr:colOff>212724</xdr:colOff>
      <xdr:row>306</xdr:row>
      <xdr:rowOff>76490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3C3B368-769F-554C-B14C-CDAD802DD0C5}"/>
            </a:ext>
            <a:ext uri="{147F2762-F138-4A5C-976F-8EAC2B608ADB}">
              <a16:predDERef xmlns:a16="http://schemas.microsoft.com/office/drawing/2014/main" pred="{D759A0B1-0075-4F43-B266-327340E6A5A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490281</xdr:colOff>
      <xdr:row>13</xdr:row>
      <xdr:rowOff>134680</xdr:rowOff>
    </xdr:from>
    <xdr:to>
      <xdr:col>16</xdr:col>
      <xdr:colOff>767909</xdr:colOff>
      <xdr:row>31</xdr:row>
      <xdr:rowOff>44305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F60A9E8-FAFD-3C4C-9D41-96D857ECCC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127000</xdr:colOff>
      <xdr:row>0</xdr:row>
      <xdr:rowOff>0</xdr:rowOff>
    </xdr:from>
    <xdr:to>
      <xdr:col>11</xdr:col>
      <xdr:colOff>641867</xdr:colOff>
      <xdr:row>49</xdr:row>
      <xdr:rowOff>65043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D701C50-4A1D-B742-877C-C7FF70C30A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0"/>
          <a:ext cx="8769867" cy="81549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engineeringtoolbox.com/flow-velocity-water-pipes-d_385.html" TargetMode="External"/><Relationship Id="rId2" Type="http://schemas.openxmlformats.org/officeDocument/2006/relationships/hyperlink" Target="https://www.radius-systems.com/storage/app/media/Downloads/Polyethylene%20pipes%20for%20all%20applications.pdf" TargetMode="External"/><Relationship Id="rId1" Type="http://schemas.openxmlformats.org/officeDocument/2006/relationships/hyperlink" Target="https://www.pe100plus.com/PE-Pipes/Technical-guidance/Trenchless/Methods/PE-Pipe-i1341.html" TargetMode="External"/><Relationship Id="rId5" Type="http://schemas.openxmlformats.org/officeDocument/2006/relationships/hyperlink" Target="https://www.pipeflow.com/pipe-pressure-drop-calculations/pipe-roughness" TargetMode="External"/><Relationship Id="rId4" Type="http://schemas.openxmlformats.org/officeDocument/2006/relationships/hyperlink" Target="http://www.welbrit.co.uk/polyethylene.php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www.xylect.com/bin/Xylect.dll?IS__NEXTPAGE=startup&amp;IS__NEXTPAGE=BDYHOME&amp;IS__AREA=GREAT%20BRITAIN&amp;IS__COUNTRY=UNITED%20KINGDOM&amp;IS__BROWSER=%23%23%231584%23821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hyperlink" Target="https://wilo.com/ie/en/Solutions-Finder/FAQ/Centrifugal-pump/What-is-the-efficiency-of-a-centrifugal-pump/" TargetMode="External"/><Relationship Id="rId1" Type="http://schemas.openxmlformats.org/officeDocument/2006/relationships/hyperlink" Target="https://lutpub.lut.fi/handle/10024/163642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xylect.com/bin/Xylect.dll?RQID=C5306ABC8C4548B8B2C8E502AB5437E9" TargetMode="External"/><Relationship Id="rId2" Type="http://schemas.openxmlformats.org/officeDocument/2006/relationships/hyperlink" Target="https://www.pe100plus.com/PE-Pipes/Technical-guidance/Trenchless/Methods/Installation/Horizontal-Directional-Drilling-i1305.html" TargetMode="External"/><Relationship Id="rId1" Type="http://schemas.openxmlformats.org/officeDocument/2006/relationships/hyperlink" Target="https://www.xylem.com/en-uk/products--services/pumps-packaged-pump-systems/pumps/end-suction-pumps/e-nsc-cast-iron-end-suction-pumps/" TargetMode="External"/><Relationship Id="rId6" Type="http://schemas.openxmlformats.org/officeDocument/2006/relationships/drawing" Target="../drawings/drawing4.xml"/><Relationship Id="rId5" Type="http://schemas.openxmlformats.org/officeDocument/2006/relationships/hyperlink" Target="https://www.xylect.com/bin/Xylect.dll?RQID=58E15A6A4DFD4A4CAE3ECFAF96187650" TargetMode="External"/><Relationship Id="rId4" Type="http://schemas.openxmlformats.org/officeDocument/2006/relationships/hyperlink" Target="https://www.xylect.com/bin/Xylect.dll?RQID=C5306ABC8C4548B8B2C8E502AB5437E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0931FB-2EB3-BA40-9BCC-493A8C063C0C}">
  <dimension ref="A1:J58"/>
  <sheetViews>
    <sheetView topLeftCell="A16" workbookViewId="0">
      <selection activeCell="A39" sqref="A39:C49"/>
    </sheetView>
  </sheetViews>
  <sheetFormatPr baseColWidth="10" defaultColWidth="11.5" defaultRowHeight="13" x14ac:dyDescent="0.15"/>
  <cols>
    <col min="1" max="1" width="23.5" customWidth="1"/>
    <col min="2" max="2" width="25.33203125" customWidth="1"/>
    <col min="3" max="3" width="23.83203125" customWidth="1"/>
    <col min="4" max="4" width="22.33203125" customWidth="1"/>
    <col min="5" max="5" width="26.83203125" customWidth="1"/>
    <col min="6" max="6" width="21.1640625" customWidth="1"/>
    <col min="7" max="7" width="23.1640625" customWidth="1"/>
  </cols>
  <sheetData>
    <row r="1" spans="1:10" ht="1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H1" t="s">
        <v>5</v>
      </c>
      <c r="J1" s="1"/>
    </row>
    <row r="2" spans="1:10" ht="16" x14ac:dyDescent="0.2">
      <c r="A2">
        <v>1000</v>
      </c>
      <c r="B2">
        <v>1.0020000000000001E-3</v>
      </c>
      <c r="C2">
        <v>0.3125</v>
      </c>
      <c r="D2">
        <v>1.5</v>
      </c>
      <c r="E2">
        <v>1.5E-3</v>
      </c>
      <c r="H2" s="2" t="s">
        <v>6</v>
      </c>
      <c r="J2" s="1"/>
    </row>
    <row r="3" spans="1:10" ht="16" x14ac:dyDescent="0.2">
      <c r="J3" s="1"/>
    </row>
    <row r="4" spans="1:10" ht="16" x14ac:dyDescent="0.2">
      <c r="H4" t="s">
        <v>7</v>
      </c>
      <c r="J4" s="1"/>
    </row>
    <row r="5" spans="1:10" ht="16" x14ac:dyDescent="0.2">
      <c r="H5" s="2" t="s">
        <v>8</v>
      </c>
      <c r="J5" s="1"/>
    </row>
    <row r="6" spans="1:10" ht="16" x14ac:dyDescent="0.2">
      <c r="J6" s="1"/>
    </row>
    <row r="7" spans="1:10" ht="20" x14ac:dyDescent="0.2">
      <c r="A7" s="7" t="s">
        <v>9</v>
      </c>
      <c r="H7" t="s">
        <v>10</v>
      </c>
      <c r="J7" s="1"/>
    </row>
    <row r="8" spans="1:10" ht="16" x14ac:dyDescent="0.2">
      <c r="A8" t="s">
        <v>11</v>
      </c>
      <c r="B8" t="s">
        <v>12</v>
      </c>
      <c r="C8" t="s">
        <v>13</v>
      </c>
      <c r="D8" t="s">
        <v>14</v>
      </c>
      <c r="E8" t="s">
        <v>15</v>
      </c>
      <c r="H8" s="2" t="s">
        <v>16</v>
      </c>
      <c r="J8" s="1"/>
    </row>
    <row r="9" spans="1:10" ht="16" x14ac:dyDescent="0.2">
      <c r="A9">
        <v>225</v>
      </c>
      <c r="B9">
        <v>13.4</v>
      </c>
      <c r="C9">
        <f>A9-2*B9</f>
        <v>198.2</v>
      </c>
      <c r="D9">
        <f>(3.14*C9*C9*(10^-6))*0.25</f>
        <v>3.0837343399999991E-2</v>
      </c>
      <c r="E9">
        <f>$C$2/D9</f>
        <v>10.133817169218283</v>
      </c>
      <c r="J9" s="1"/>
    </row>
    <row r="10" spans="1:10" ht="16" x14ac:dyDescent="0.2">
      <c r="A10">
        <v>250</v>
      </c>
      <c r="B10">
        <v>14.8</v>
      </c>
      <c r="C10">
        <f t="shared" ref="C10:C22" si="0">A10-2*B10</f>
        <v>220.4</v>
      </c>
      <c r="D10">
        <f t="shared" ref="D10:D22" si="1">(3.14*C10*C10*(10^-6))*0.25</f>
        <v>3.8132285600000003E-2</v>
      </c>
      <c r="E10">
        <f t="shared" ref="E10:E22" si="2">$C$2/D10</f>
        <v>8.1951552361183406</v>
      </c>
      <c r="H10" t="s">
        <v>17</v>
      </c>
      <c r="J10" s="1"/>
    </row>
    <row r="11" spans="1:10" ht="16" x14ac:dyDescent="0.2">
      <c r="A11">
        <v>280</v>
      </c>
      <c r="B11">
        <v>16.600000000000001</v>
      </c>
      <c r="C11">
        <f t="shared" si="0"/>
        <v>246.8</v>
      </c>
      <c r="D11">
        <f t="shared" si="1"/>
        <v>4.7814538400000009E-2</v>
      </c>
      <c r="E11">
        <f t="shared" si="2"/>
        <v>6.5356690759143659</v>
      </c>
      <c r="H11" s="2" t="s">
        <v>18</v>
      </c>
      <c r="J11" s="1"/>
    </row>
    <row r="12" spans="1:10" x14ac:dyDescent="0.15">
      <c r="A12">
        <v>315</v>
      </c>
      <c r="B12">
        <v>18.7</v>
      </c>
      <c r="C12">
        <f t="shared" si="0"/>
        <v>277.60000000000002</v>
      </c>
      <c r="D12">
        <f t="shared" si="1"/>
        <v>6.049348160000001E-2</v>
      </c>
      <c r="E12">
        <f t="shared" si="2"/>
        <v>5.165845835528831</v>
      </c>
    </row>
    <row r="13" spans="1:10" x14ac:dyDescent="0.15">
      <c r="A13">
        <v>355</v>
      </c>
      <c r="B13">
        <v>21.2</v>
      </c>
      <c r="C13">
        <f t="shared" si="0"/>
        <v>312.60000000000002</v>
      </c>
      <c r="D13">
        <f t="shared" si="1"/>
        <v>7.6709226599999999E-2</v>
      </c>
      <c r="E13">
        <f t="shared" si="2"/>
        <v>4.0738254555678184</v>
      </c>
      <c r="H13" t="s">
        <v>19</v>
      </c>
    </row>
    <row r="14" spans="1:10" x14ac:dyDescent="0.15">
      <c r="A14">
        <v>400</v>
      </c>
      <c r="B14">
        <v>23.7</v>
      </c>
      <c r="C14">
        <f t="shared" si="0"/>
        <v>352.6</v>
      </c>
      <c r="D14">
        <f t="shared" si="1"/>
        <v>9.7596506600000021E-2</v>
      </c>
      <c r="E14">
        <f t="shared" si="2"/>
        <v>3.2019588701139017</v>
      </c>
      <c r="H14" s="2" t="s">
        <v>20</v>
      </c>
    </row>
    <row r="15" spans="1:10" x14ac:dyDescent="0.15">
      <c r="A15">
        <v>450</v>
      </c>
      <c r="B15">
        <v>26.7</v>
      </c>
      <c r="C15">
        <f t="shared" si="0"/>
        <v>396.6</v>
      </c>
      <c r="D15">
        <f t="shared" si="1"/>
        <v>0.12347387460000001</v>
      </c>
      <c r="E15">
        <f t="shared" si="2"/>
        <v>2.5308997633091201</v>
      </c>
    </row>
    <row r="16" spans="1:10" x14ac:dyDescent="0.15">
      <c r="A16">
        <v>500</v>
      </c>
      <c r="B16">
        <v>29.7</v>
      </c>
      <c r="C16">
        <f t="shared" si="0"/>
        <v>440.6</v>
      </c>
      <c r="D16">
        <f t="shared" si="1"/>
        <v>0.15239076260000001</v>
      </c>
      <c r="E16">
        <f t="shared" si="2"/>
        <v>2.050649230099725</v>
      </c>
    </row>
    <row r="17" spans="1:5" x14ac:dyDescent="0.15">
      <c r="A17" s="3">
        <v>560</v>
      </c>
      <c r="B17" s="3">
        <v>33.200000000000003</v>
      </c>
      <c r="C17" s="3">
        <f t="shared" si="0"/>
        <v>493.6</v>
      </c>
      <c r="D17" s="3">
        <f t="shared" si="1"/>
        <v>0.19125815360000004</v>
      </c>
      <c r="E17" s="3">
        <f t="shared" si="2"/>
        <v>1.6339172689785915</v>
      </c>
    </row>
    <row r="18" spans="1:5" x14ac:dyDescent="0.15">
      <c r="A18" s="3">
        <v>630</v>
      </c>
      <c r="B18" s="3">
        <v>37.4</v>
      </c>
      <c r="C18" s="3">
        <f t="shared" si="0"/>
        <v>555.20000000000005</v>
      </c>
      <c r="D18" s="3">
        <f t="shared" si="1"/>
        <v>0.24197392640000004</v>
      </c>
      <c r="E18" s="3">
        <f t="shared" si="2"/>
        <v>1.2914614588822078</v>
      </c>
    </row>
    <row r="19" spans="1:5" x14ac:dyDescent="0.15">
      <c r="A19">
        <v>710</v>
      </c>
      <c r="B19">
        <v>42.1</v>
      </c>
      <c r="C19">
        <f t="shared" si="0"/>
        <v>625.79999999999995</v>
      </c>
      <c r="D19">
        <f t="shared" si="1"/>
        <v>0.30742612739999997</v>
      </c>
      <c r="E19">
        <f t="shared" si="2"/>
        <v>1.0165043636431015</v>
      </c>
    </row>
    <row r="20" spans="1:5" x14ac:dyDescent="0.15">
      <c r="A20">
        <v>800</v>
      </c>
      <c r="B20">
        <v>47.4</v>
      </c>
      <c r="C20">
        <f t="shared" si="0"/>
        <v>705.2</v>
      </c>
      <c r="D20">
        <f t="shared" si="1"/>
        <v>0.39038602640000009</v>
      </c>
      <c r="E20">
        <f t="shared" si="2"/>
        <v>0.80048971752847542</v>
      </c>
    </row>
    <row r="21" spans="1:5" x14ac:dyDescent="0.15">
      <c r="A21">
        <v>900</v>
      </c>
      <c r="B21">
        <v>53.3</v>
      </c>
      <c r="C21">
        <f t="shared" si="0"/>
        <v>793.4</v>
      </c>
      <c r="D21">
        <f t="shared" si="1"/>
        <v>0.49414459459999993</v>
      </c>
      <c r="E21">
        <f t="shared" si="2"/>
        <v>0.63240598686091554</v>
      </c>
    </row>
    <row r="22" spans="1:5" x14ac:dyDescent="0.15">
      <c r="A22">
        <v>1000</v>
      </c>
      <c r="B22">
        <v>59.3</v>
      </c>
      <c r="C22">
        <f t="shared" si="0"/>
        <v>881.4</v>
      </c>
      <c r="D22">
        <f t="shared" si="1"/>
        <v>0.60983977859999994</v>
      </c>
      <c r="E22">
        <f t="shared" si="2"/>
        <v>0.51242967573778408</v>
      </c>
    </row>
    <row r="24" spans="1:5" x14ac:dyDescent="0.15">
      <c r="A24" t="s">
        <v>13</v>
      </c>
      <c r="B24" t="s">
        <v>21</v>
      </c>
      <c r="C24" t="s">
        <v>22</v>
      </c>
      <c r="D24" t="s">
        <v>23</v>
      </c>
    </row>
    <row r="25" spans="1:5" x14ac:dyDescent="0.15">
      <c r="A25">
        <v>493.5</v>
      </c>
      <c r="B25">
        <f>($A$2*$D$2*A25*10^(-3))/$B$2</f>
        <v>738772.45508982032</v>
      </c>
      <c r="C25">
        <f>0.0055*(1+((20000*$E$2)/(A25)+(10^6/B25)))^(1/3)</f>
        <v>7.3784474077555548E-3</v>
      </c>
      <c r="D25">
        <v>1.23E-2</v>
      </c>
    </row>
    <row r="26" spans="1:5" x14ac:dyDescent="0.15">
      <c r="A26">
        <v>555.20000000000005</v>
      </c>
      <c r="B26">
        <f>($A$2*$D$2*A26*10^(-3))/$B$2</f>
        <v>831137.7245508983</v>
      </c>
      <c r="C26">
        <f>0.0055*(1+((20000*$E$2)/(A26)+(10^6/B26)))^(1/3)</f>
        <v>7.2147230693801285E-3</v>
      </c>
      <c r="D26">
        <v>1.2087000000000001E-2</v>
      </c>
    </row>
    <row r="28" spans="1:5" x14ac:dyDescent="0.15">
      <c r="A28" t="s">
        <v>24</v>
      </c>
      <c r="C28" t="s">
        <v>25</v>
      </c>
    </row>
    <row r="29" spans="1:5" x14ac:dyDescent="0.15">
      <c r="B29" t="s">
        <v>26</v>
      </c>
      <c r="D29" t="s">
        <v>27</v>
      </c>
    </row>
    <row r="30" spans="1:5" x14ac:dyDescent="0.15">
      <c r="B30">
        <f>(C25*$D$2*$D$2)/(2*9.81*A25*10^(-3))</f>
        <v>1.7145941756029192E-3</v>
      </c>
      <c r="D30">
        <f>(D25*$D$2*$D$2)/(2*9.81*A25*10^(-3))</f>
        <v>2.8582582750062736E-3</v>
      </c>
    </row>
    <row r="31" spans="1:5" x14ac:dyDescent="0.15">
      <c r="B31">
        <f>(C26*$D$2*$D$2)/(2*9.81*A26*10^(-3))</f>
        <v>1.4902314459332216E-3</v>
      </c>
      <c r="D31">
        <f>(D26*$D$2*$D$2)/(2*9.81*A26*10^(-3))</f>
        <v>2.4966207730745837E-3</v>
      </c>
    </row>
    <row r="37" spans="1:6" ht="20" x14ac:dyDescent="0.2">
      <c r="A37" s="13" t="s">
        <v>28</v>
      </c>
      <c r="B37" s="14"/>
      <c r="C37" s="14"/>
      <c r="D37" s="14"/>
      <c r="E37" s="14"/>
    </row>
    <row r="38" spans="1:6" x14ac:dyDescent="0.15">
      <c r="A38" t="s">
        <v>11</v>
      </c>
      <c r="B38" t="s">
        <v>12</v>
      </c>
      <c r="C38" t="s">
        <v>13</v>
      </c>
      <c r="D38" t="s">
        <v>14</v>
      </c>
      <c r="E38" t="s">
        <v>15</v>
      </c>
    </row>
    <row r="39" spans="1:6" x14ac:dyDescent="0.15">
      <c r="A39">
        <v>225</v>
      </c>
      <c r="B39">
        <v>20.3</v>
      </c>
      <c r="C39">
        <f>A39-2*B39</f>
        <v>184.4</v>
      </c>
      <c r="D39">
        <f>(3.14*C39*C39*(10^-6))*0.25</f>
        <v>2.6692637600000003E-2</v>
      </c>
      <c r="E39">
        <f>$C$2/D39</f>
        <v>11.707348096615224</v>
      </c>
    </row>
    <row r="40" spans="1:6" x14ac:dyDescent="0.15">
      <c r="A40">
        <v>250</v>
      </c>
      <c r="B40">
        <v>22.7</v>
      </c>
      <c r="C40">
        <f t="shared" ref="C40:C49" si="3">A40-2*B40</f>
        <v>204.6</v>
      </c>
      <c r="D40">
        <f t="shared" ref="D40:D49" si="4">(3.14*C40*C40*(10^-6))*0.25</f>
        <v>3.286101059999999E-2</v>
      </c>
      <c r="E40">
        <f t="shared" ref="E40:E49" si="5">$C$2/D40</f>
        <v>9.5097501353168994</v>
      </c>
    </row>
    <row r="41" spans="1:6" x14ac:dyDescent="0.15">
      <c r="A41">
        <v>280</v>
      </c>
      <c r="B41">
        <v>25.4</v>
      </c>
      <c r="C41">
        <f t="shared" si="3"/>
        <v>229.2</v>
      </c>
      <c r="D41">
        <f t="shared" si="4"/>
        <v>4.12381224E-2</v>
      </c>
      <c r="E41">
        <f t="shared" si="5"/>
        <v>7.5779395814587325</v>
      </c>
    </row>
    <row r="42" spans="1:6" x14ac:dyDescent="0.15">
      <c r="A42">
        <v>315</v>
      </c>
      <c r="B42">
        <v>28.6</v>
      </c>
      <c r="C42">
        <f t="shared" si="3"/>
        <v>257.8</v>
      </c>
      <c r="D42">
        <f t="shared" si="4"/>
        <v>5.217175940000001E-2</v>
      </c>
      <c r="E42">
        <f t="shared" si="5"/>
        <v>5.9898305825584242</v>
      </c>
    </row>
    <row r="43" spans="1:6" x14ac:dyDescent="0.15">
      <c r="A43">
        <v>355</v>
      </c>
      <c r="B43">
        <v>32.200000000000003</v>
      </c>
      <c r="C43">
        <f t="shared" si="3"/>
        <v>290.60000000000002</v>
      </c>
      <c r="D43">
        <f t="shared" si="4"/>
        <v>6.6291962600000004E-2</v>
      </c>
      <c r="E43">
        <f t="shared" si="5"/>
        <v>4.7139952981268349</v>
      </c>
    </row>
    <row r="44" spans="1:6" x14ac:dyDescent="0.15">
      <c r="A44">
        <v>400</v>
      </c>
      <c r="B44">
        <v>36.299999999999997</v>
      </c>
      <c r="C44">
        <f t="shared" si="3"/>
        <v>327.39999999999998</v>
      </c>
      <c r="D44">
        <f t="shared" si="4"/>
        <v>8.4144746600000001E-2</v>
      </c>
      <c r="E44">
        <f t="shared" si="5"/>
        <v>3.7138385059917693</v>
      </c>
    </row>
    <row r="45" spans="1:6" x14ac:dyDescent="0.15">
      <c r="A45">
        <v>450</v>
      </c>
      <c r="B45">
        <v>40.9</v>
      </c>
      <c r="C45">
        <f t="shared" si="3"/>
        <v>368.2</v>
      </c>
      <c r="D45">
        <f t="shared" si="4"/>
        <v>0.10642342339999998</v>
      </c>
      <c r="E45">
        <f t="shared" si="5"/>
        <v>2.9363836457830019</v>
      </c>
    </row>
    <row r="46" spans="1:6" x14ac:dyDescent="0.15">
      <c r="A46">
        <v>500</v>
      </c>
      <c r="B46">
        <v>45.4</v>
      </c>
      <c r="C46">
        <f t="shared" si="3"/>
        <v>409.2</v>
      </c>
      <c r="D46">
        <f t="shared" si="4"/>
        <v>0.13144404239999996</v>
      </c>
      <c r="E46">
        <f t="shared" si="5"/>
        <v>2.3774375338292248</v>
      </c>
    </row>
    <row r="47" spans="1:6" x14ac:dyDescent="0.15">
      <c r="A47">
        <v>560</v>
      </c>
      <c r="B47">
        <v>50.8</v>
      </c>
      <c r="C47">
        <f t="shared" si="3"/>
        <v>458.4</v>
      </c>
      <c r="D47">
        <f>(3.14*C47*C47*(10^-6))*0.25</f>
        <v>0.1649524896</v>
      </c>
      <c r="E47">
        <f t="shared" si="5"/>
        <v>1.8944848953646831</v>
      </c>
    </row>
    <row r="48" spans="1:6" x14ac:dyDescent="0.15">
      <c r="A48" s="3">
        <v>630</v>
      </c>
      <c r="B48" s="3">
        <v>57.2</v>
      </c>
      <c r="C48" s="3">
        <f>A48-2*B48</f>
        <v>515.6</v>
      </c>
      <c r="D48" s="3">
        <f>(3.14*C48*C48*(10^-6))*0.25</f>
        <v>0.20868703760000004</v>
      </c>
      <c r="E48" s="3">
        <f>$C$2/D48</f>
        <v>1.497457645639606</v>
      </c>
      <c r="F48" s="14"/>
    </row>
    <row r="49" spans="1:5" x14ac:dyDescent="0.15">
      <c r="A49" s="3">
        <v>710</v>
      </c>
      <c r="B49" s="3">
        <v>64.5</v>
      </c>
      <c r="C49" s="3">
        <f t="shared" si="3"/>
        <v>581</v>
      </c>
      <c r="D49" s="3">
        <f t="shared" si="4"/>
        <v>0.26498538500000002</v>
      </c>
      <c r="E49" s="3">
        <f t="shared" si="5"/>
        <v>1.1793103230957436</v>
      </c>
    </row>
    <row r="51" spans="1:5" x14ac:dyDescent="0.15">
      <c r="A51" t="s">
        <v>13</v>
      </c>
      <c r="B51" t="s">
        <v>21</v>
      </c>
      <c r="C51" t="s">
        <v>22</v>
      </c>
      <c r="D51" t="s">
        <v>23</v>
      </c>
    </row>
    <row r="52" spans="1:5" x14ac:dyDescent="0.15">
      <c r="A52">
        <v>515.6</v>
      </c>
      <c r="B52">
        <f>($A$2*$D$2*A52*10^(-3))/$B$2</f>
        <v>771856.28742514958</v>
      </c>
      <c r="C52">
        <f>0.0055*(1+((20000*$E$2)/(A52)+(10^6/B52)))^(1/3)</f>
        <v>7.3161664216242015E-3</v>
      </c>
      <c r="D52">
        <v>1.2241200000000001E-2</v>
      </c>
    </row>
    <row r="53" spans="1:5" x14ac:dyDescent="0.15">
      <c r="A53">
        <v>581</v>
      </c>
      <c r="B53">
        <f>($A$2*$D$2*A53*10^(-3))/$B$2</f>
        <v>869760.47904191609</v>
      </c>
      <c r="C53">
        <f>0.0055*(1+((20000*$E$2)/(A53)+(10^6/B53)))^(1/3)</f>
        <v>7.1547450061083748E-3</v>
      </c>
      <c r="D53">
        <v>1.19942E-2</v>
      </c>
    </row>
    <row r="55" spans="1:5" x14ac:dyDescent="0.15">
      <c r="A55" t="s">
        <v>24</v>
      </c>
      <c r="C55" t="s">
        <v>25</v>
      </c>
    </row>
    <row r="56" spans="1:5" x14ac:dyDescent="0.15">
      <c r="B56" t="s">
        <v>26</v>
      </c>
      <c r="D56" t="s">
        <v>27</v>
      </c>
    </row>
    <row r="57" spans="1:5" x14ac:dyDescent="0.15">
      <c r="B57">
        <f>(C52*$D$2*$D$2)/(2*9.81*A52*10^(-3))</f>
        <v>1.627249632926145E-3</v>
      </c>
      <c r="D57">
        <f>(D52*$D$2*$D$2)/(2*9.81*A52*10^(-3))</f>
        <v>2.7226674543241688E-3</v>
      </c>
    </row>
    <row r="58" spans="1:5" x14ac:dyDescent="0.15">
      <c r="B58">
        <f>(C53*$D$2*$D$2)/(2*9.81*A53*10^(-3))</f>
        <v>1.4122173502874621E-3</v>
      </c>
      <c r="D58">
        <f>(D53*$D$2*$D$2)/(2*9.81*A53*10^(-3))</f>
        <v>2.3674382984098913E-3</v>
      </c>
    </row>
  </sheetData>
  <hyperlinks>
    <hyperlink ref="H2" r:id="rId1" xr:uid="{B242D93E-034F-DD4B-A32D-7D980A27E69D}"/>
    <hyperlink ref="H8" r:id="rId2" xr:uid="{85ACC059-9059-874A-9771-D27CED0D39B7}"/>
    <hyperlink ref="H5" r:id="rId3" xr:uid="{7224F255-34E9-DF44-BAF9-00644E813821}"/>
    <hyperlink ref="H11" r:id="rId4" xr:uid="{C60321DB-45E3-0F40-BE3F-C87FF606734F}"/>
    <hyperlink ref="H14" r:id="rId5" xr:uid="{08C914FC-B84E-BC49-A39E-21B43BF9ACF6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37DBBE-6DD3-4F35-B356-403415A1B2A6}">
  <dimension ref="A1:I147"/>
  <sheetViews>
    <sheetView topLeftCell="A115" workbookViewId="0">
      <selection activeCell="C148" sqref="C148"/>
    </sheetView>
  </sheetViews>
  <sheetFormatPr baseColWidth="10" defaultColWidth="8.83203125" defaultRowHeight="13" x14ac:dyDescent="0.15"/>
  <cols>
    <col min="1" max="1" width="17.33203125" customWidth="1"/>
    <col min="2" max="2" width="23" customWidth="1"/>
    <col min="3" max="3" width="20.83203125" customWidth="1"/>
    <col min="4" max="4" width="20.33203125" customWidth="1"/>
    <col min="5" max="5" width="33.5" customWidth="1"/>
    <col min="6" max="6" width="31" customWidth="1"/>
    <col min="7" max="7" width="31.33203125" customWidth="1"/>
    <col min="8" max="8" width="24.33203125" customWidth="1"/>
    <col min="9" max="9" width="46.5" customWidth="1"/>
  </cols>
  <sheetData>
    <row r="1" spans="1:9" ht="20" x14ac:dyDescent="0.2">
      <c r="A1" s="7" t="s">
        <v>29</v>
      </c>
    </row>
    <row r="2" spans="1:9" ht="20" x14ac:dyDescent="0.2">
      <c r="A2" s="7" t="s">
        <v>30</v>
      </c>
      <c r="B2" t="s">
        <v>31</v>
      </c>
      <c r="C2" t="s">
        <v>32</v>
      </c>
      <c r="D2" t="s">
        <v>33</v>
      </c>
      <c r="E2" t="s">
        <v>4</v>
      </c>
      <c r="F2" t="s">
        <v>1</v>
      </c>
      <c r="G2" t="s">
        <v>34</v>
      </c>
      <c r="H2" t="s">
        <v>92</v>
      </c>
    </row>
    <row r="3" spans="1:9" x14ac:dyDescent="0.15">
      <c r="B3">
        <v>515.6</v>
      </c>
      <c r="C3">
        <f>(B3*0.001*0.001*B3*3.14)/4</f>
        <v>0.20868703760000004</v>
      </c>
      <c r="D3">
        <f>20.26445829*1000</f>
        <v>20264.458289999999</v>
      </c>
      <c r="E3">
        <v>1.5E-3</v>
      </c>
      <c r="F3">
        <v>1.0020000000000001E-3</v>
      </c>
      <c r="G3">
        <f>0.3125*1000</f>
        <v>312.5</v>
      </c>
      <c r="H3">
        <v>1.2241200000000001E-2</v>
      </c>
    </row>
    <row r="6" spans="1:9" x14ac:dyDescent="0.15">
      <c r="A6" t="s">
        <v>37</v>
      </c>
      <c r="B6" t="s">
        <v>38</v>
      </c>
      <c r="C6" t="s">
        <v>39</v>
      </c>
      <c r="D6" t="s">
        <v>40</v>
      </c>
      <c r="E6" t="s">
        <v>41</v>
      </c>
      <c r="F6" t="s">
        <v>42</v>
      </c>
      <c r="G6" t="s">
        <v>43</v>
      </c>
    </row>
    <row r="7" spans="1:9" x14ac:dyDescent="0.15">
      <c r="A7">
        <v>0</v>
      </c>
      <c r="B7">
        <v>0</v>
      </c>
      <c r="C7">
        <v>0</v>
      </c>
      <c r="D7">
        <v>0</v>
      </c>
      <c r="E7">
        <v>0</v>
      </c>
      <c r="F7">
        <f>($D$3*8*$H$3)/(3.14*3.14*9.81*$B$3*$B$3*$B$3*$B$3*$B$3*10^(-15))*A7*A7*10^(-6)+44.88</f>
        <v>44.88</v>
      </c>
      <c r="G7">
        <f>312.5</f>
        <v>312.5</v>
      </c>
      <c r="I7" t="s">
        <v>35</v>
      </c>
    </row>
    <row r="8" spans="1:9" x14ac:dyDescent="0.15">
      <c r="A8">
        <v>40</v>
      </c>
      <c r="B8">
        <f>(A8*0.001)/$C$3</f>
        <v>0.19167457864186957</v>
      </c>
      <c r="C8">
        <f>(1000*B8*$B$3*0.001)/$F$3</f>
        <v>98630.152442862236</v>
      </c>
      <c r="D8">
        <f>(-2*LOG(($E$3*C8^(0.89)+5.1206*3.7*$B$3)/(3.7*$B$3*C8^(0.89))))^(-2)</f>
        <v>1.7935307125596871E-2</v>
      </c>
      <c r="E8">
        <f>($D$8*B8*B8)/(2*9.81*$B$3*0.001)</f>
        <v>6.5136728259833238E-5</v>
      </c>
      <c r="F8">
        <f t="shared" ref="F8:F23" si="0">($D$3*8*$H$3)/(3.14*3.14*9.81*$B$3*$B$3*$B$3*$B$3*$B$3*10^(-15))*A8*A8*10^(-6)+44.88</f>
        <v>45.780899021031502</v>
      </c>
      <c r="G8">
        <f t="shared" ref="G8:G23" si="1">312.5</f>
        <v>312.5</v>
      </c>
      <c r="I8" s="2" t="s">
        <v>36</v>
      </c>
    </row>
    <row r="9" spans="1:9" x14ac:dyDescent="0.15">
      <c r="A9">
        <v>80</v>
      </c>
      <c r="B9">
        <f t="shared" ref="B9:B23" si="2">(A9*0.001)/$C$3</f>
        <v>0.38334915728373914</v>
      </c>
      <c r="C9">
        <f t="shared" ref="C9:C23" si="3">(1000*B9*$B$3*0.001)/$F$3</f>
        <v>197260.30488572447</v>
      </c>
      <c r="D9">
        <f t="shared" ref="D9:D23" si="4">(-2*LOG(($E$3*C9^(0.89)+5.1206*3.7*$B$3)/(3.7*$B$3*C9^(0.89))))^(-2)</f>
        <v>1.5626269552460454E-2</v>
      </c>
      <c r="E9">
        <f t="shared" ref="E9:E23" si="5">($D$8*B9*B9)/(2*9.81*$B$3*0.001)</f>
        <v>2.6054691303933295E-4</v>
      </c>
      <c r="F9">
        <f t="shared" si="0"/>
        <v>48.483596084125992</v>
      </c>
      <c r="G9">
        <f t="shared" si="1"/>
        <v>312.5</v>
      </c>
    </row>
    <row r="10" spans="1:9" x14ac:dyDescent="0.15">
      <c r="A10">
        <v>120</v>
      </c>
      <c r="B10">
        <f t="shared" si="2"/>
        <v>0.57502373592560874</v>
      </c>
      <c r="C10">
        <f t="shared" si="3"/>
        <v>295890.45732858672</v>
      </c>
      <c r="D10">
        <f t="shared" si="4"/>
        <v>1.44804372468137E-2</v>
      </c>
      <c r="E10">
        <f t="shared" si="5"/>
        <v>5.8623055433849923E-4</v>
      </c>
      <c r="F10">
        <f t="shared" si="0"/>
        <v>52.988091189283473</v>
      </c>
      <c r="G10">
        <f t="shared" si="1"/>
        <v>312.5</v>
      </c>
    </row>
    <row r="11" spans="1:9" x14ac:dyDescent="0.15">
      <c r="A11">
        <v>160</v>
      </c>
      <c r="B11">
        <f t="shared" si="2"/>
        <v>0.76669831456747828</v>
      </c>
      <c r="C11">
        <f t="shared" si="3"/>
        <v>394520.60977144894</v>
      </c>
      <c r="D11">
        <f t="shared" si="4"/>
        <v>1.3744601633613004E-2</v>
      </c>
      <c r="E11">
        <f t="shared" si="5"/>
        <v>1.0421876521573318E-3</v>
      </c>
      <c r="F11">
        <f t="shared" si="0"/>
        <v>59.294384336503953</v>
      </c>
      <c r="G11">
        <f t="shared" si="1"/>
        <v>312.5</v>
      </c>
    </row>
    <row r="12" spans="1:9" x14ac:dyDescent="0.15">
      <c r="A12">
        <v>200</v>
      </c>
      <c r="B12">
        <f t="shared" si="2"/>
        <v>0.95837289320934793</v>
      </c>
      <c r="C12">
        <f t="shared" si="3"/>
        <v>493150.76221431117</v>
      </c>
      <c r="D12">
        <f t="shared" si="4"/>
        <v>1.3213466134789058E-2</v>
      </c>
      <c r="E12">
        <f t="shared" si="5"/>
        <v>1.6284182064958313E-3</v>
      </c>
      <c r="F12">
        <f t="shared" si="0"/>
        <v>67.402475525787423</v>
      </c>
      <c r="G12">
        <f t="shared" si="1"/>
        <v>312.5</v>
      </c>
      <c r="I12" t="s">
        <v>44</v>
      </c>
    </row>
    <row r="13" spans="1:9" x14ac:dyDescent="0.15">
      <c r="A13">
        <v>240</v>
      </c>
      <c r="B13">
        <f t="shared" si="2"/>
        <v>1.1500474718512175</v>
      </c>
      <c r="C13">
        <f t="shared" si="3"/>
        <v>591780.91465717345</v>
      </c>
      <c r="D13">
        <f t="shared" si="4"/>
        <v>1.2803283156116649E-2</v>
      </c>
      <c r="E13">
        <f t="shared" si="5"/>
        <v>2.3449222173539969E-3</v>
      </c>
      <c r="F13">
        <f t="shared" si="0"/>
        <v>77.312364757133892</v>
      </c>
      <c r="G13">
        <f t="shared" si="1"/>
        <v>312.5</v>
      </c>
    </row>
    <row r="14" spans="1:9" x14ac:dyDescent="0.15">
      <c r="A14">
        <v>280</v>
      </c>
      <c r="B14">
        <f t="shared" si="2"/>
        <v>1.3417220504930871</v>
      </c>
      <c r="C14">
        <f t="shared" si="3"/>
        <v>690411.06710003561</v>
      </c>
      <c r="D14">
        <f t="shared" si="4"/>
        <v>1.2472195642944014E-2</v>
      </c>
      <c r="E14">
        <f t="shared" si="5"/>
        <v>3.1916996847318299E-3</v>
      </c>
      <c r="F14">
        <f t="shared" si="0"/>
        <v>89.024052030543359</v>
      </c>
      <c r="G14">
        <f t="shared" si="1"/>
        <v>312.5</v>
      </c>
      <c r="I14" t="s">
        <v>45</v>
      </c>
    </row>
    <row r="15" spans="1:9" x14ac:dyDescent="0.15">
      <c r="A15" s="3">
        <v>320</v>
      </c>
      <c r="B15" s="18">
        <f t="shared" si="2"/>
        <v>1.5333966291349566</v>
      </c>
      <c r="C15" s="18">
        <f t="shared" si="3"/>
        <v>789041.21954289789</v>
      </c>
      <c r="D15" s="18">
        <f t="shared" si="4"/>
        <v>1.2196482273492636E-2</v>
      </c>
      <c r="E15" s="18">
        <f t="shared" si="5"/>
        <v>4.1687506086293272E-3</v>
      </c>
      <c r="F15">
        <f t="shared" si="0"/>
        <v>102.53753734601581</v>
      </c>
      <c r="G15">
        <f t="shared" si="1"/>
        <v>312.5</v>
      </c>
      <c r="I15" t="s">
        <v>46</v>
      </c>
    </row>
    <row r="16" spans="1:9" x14ac:dyDescent="0.15">
      <c r="A16">
        <v>360</v>
      </c>
      <c r="B16">
        <f t="shared" si="2"/>
        <v>1.725071207776826</v>
      </c>
      <c r="C16">
        <f t="shared" si="3"/>
        <v>887671.37198575994</v>
      </c>
      <c r="D16">
        <f t="shared" si="4"/>
        <v>1.1961488969988065E-2</v>
      </c>
      <c r="E16">
        <f t="shared" si="5"/>
        <v>5.2760749890464918E-3</v>
      </c>
      <c r="F16">
        <f t="shared" si="0"/>
        <v>117.85282070355126</v>
      </c>
      <c r="G16">
        <f t="shared" si="1"/>
        <v>312.5</v>
      </c>
    </row>
    <row r="17" spans="1:9" x14ac:dyDescent="0.15">
      <c r="A17">
        <v>400</v>
      </c>
      <c r="B17">
        <f t="shared" si="2"/>
        <v>1.9167457864186959</v>
      </c>
      <c r="C17">
        <f t="shared" si="3"/>
        <v>986301.52442862233</v>
      </c>
      <c r="D17">
        <f t="shared" si="4"/>
        <v>1.1757573272790615E-2</v>
      </c>
      <c r="E17">
        <f t="shared" si="5"/>
        <v>6.513672825983325E-3</v>
      </c>
      <c r="F17">
        <f t="shared" si="0"/>
        <v>134.96990210314971</v>
      </c>
      <c r="G17">
        <f t="shared" si="1"/>
        <v>312.5</v>
      </c>
      <c r="I17" t="s">
        <v>47</v>
      </c>
    </row>
    <row r="18" spans="1:9" x14ac:dyDescent="0.15">
      <c r="A18">
        <v>440</v>
      </c>
      <c r="B18">
        <f t="shared" si="2"/>
        <v>2.1084203650605651</v>
      </c>
      <c r="C18">
        <f t="shared" si="3"/>
        <v>1084931.6768714844</v>
      </c>
      <c r="D18">
        <f t="shared" si="4"/>
        <v>1.1578076401976334E-2</v>
      </c>
      <c r="E18">
        <f t="shared" si="5"/>
        <v>7.8815441194398216E-3</v>
      </c>
      <c r="F18">
        <f t="shared" si="0"/>
        <v>153.88878154481114</v>
      </c>
      <c r="G18">
        <f t="shared" si="1"/>
        <v>312.5</v>
      </c>
    </row>
    <row r="19" spans="1:9" x14ac:dyDescent="0.15">
      <c r="A19">
        <v>480</v>
      </c>
      <c r="B19">
        <f t="shared" si="2"/>
        <v>2.3000949437024349</v>
      </c>
      <c r="C19">
        <f t="shared" si="3"/>
        <v>1183561.8293143469</v>
      </c>
      <c r="D19">
        <f t="shared" si="4"/>
        <v>1.1418220922940191E-2</v>
      </c>
      <c r="E19">
        <f t="shared" si="5"/>
        <v>9.3796888694159877E-3</v>
      </c>
      <c r="F19">
        <f t="shared" si="0"/>
        <v>174.60945902853555</v>
      </c>
      <c r="G19">
        <f t="shared" si="1"/>
        <v>312.5</v>
      </c>
    </row>
    <row r="20" spans="1:9" x14ac:dyDescent="0.15">
      <c r="A20">
        <v>520</v>
      </c>
      <c r="B20">
        <f t="shared" si="2"/>
        <v>2.4917695223443044</v>
      </c>
      <c r="C20">
        <f t="shared" si="3"/>
        <v>1282191.9817572089</v>
      </c>
      <c r="D20">
        <f t="shared" si="4"/>
        <v>1.1274471268951232E-2</v>
      </c>
      <c r="E20">
        <f t="shared" si="5"/>
        <v>1.1008107075911818E-2</v>
      </c>
      <c r="F20">
        <f t="shared" si="0"/>
        <v>197.13193455432301</v>
      </c>
      <c r="G20">
        <f t="shared" si="1"/>
        <v>312.5</v>
      </c>
    </row>
    <row r="21" spans="1:9" x14ac:dyDescent="0.15">
      <c r="A21">
        <v>560</v>
      </c>
      <c r="B21">
        <f t="shared" si="2"/>
        <v>2.6834441009861743</v>
      </c>
      <c r="C21">
        <f t="shared" si="3"/>
        <v>1380822.1342000712</v>
      </c>
      <c r="D21">
        <f t="shared" si="4"/>
        <v>1.1144142880362883E-2</v>
      </c>
      <c r="E21">
        <f t="shared" si="5"/>
        <v>1.276679873892732E-2</v>
      </c>
      <c r="F21">
        <f t="shared" si="0"/>
        <v>221.45620812217342</v>
      </c>
      <c r="G21">
        <f t="shared" si="1"/>
        <v>312.5</v>
      </c>
    </row>
    <row r="22" spans="1:9" x14ac:dyDescent="0.15">
      <c r="A22">
        <v>600</v>
      </c>
      <c r="B22">
        <f t="shared" si="2"/>
        <v>2.8751186796280432</v>
      </c>
      <c r="C22">
        <f t="shared" si="3"/>
        <v>1479452.286642933</v>
      </c>
      <c r="D22">
        <f t="shared" si="4"/>
        <v>1.1025152824918373E-2</v>
      </c>
      <c r="E22">
        <f t="shared" si="5"/>
        <v>1.4655763858462477E-2</v>
      </c>
      <c r="F22">
        <f t="shared" si="0"/>
        <v>247.58227973208682</v>
      </c>
      <c r="G22">
        <f t="shared" si="1"/>
        <v>312.5</v>
      </c>
    </row>
    <row r="23" spans="1:9" x14ac:dyDescent="0.15">
      <c r="A23">
        <v>640</v>
      </c>
      <c r="B23">
        <f t="shared" si="2"/>
        <v>3.0667932582699131</v>
      </c>
      <c r="C23">
        <f t="shared" si="3"/>
        <v>1578082.4390857958</v>
      </c>
      <c r="D23">
        <f t="shared" si="4"/>
        <v>1.0915854865037425E-2</v>
      </c>
      <c r="E23">
        <f t="shared" si="5"/>
        <v>1.6675002434517309E-2</v>
      </c>
      <c r="F23">
        <f t="shared" si="0"/>
        <v>275.51014938406325</v>
      </c>
      <c r="G23">
        <f t="shared" si="1"/>
        <v>312.5</v>
      </c>
    </row>
    <row r="26" spans="1:9" x14ac:dyDescent="0.15">
      <c r="A26" t="s">
        <v>94</v>
      </c>
    </row>
    <row r="27" spans="1:9" x14ac:dyDescent="0.15">
      <c r="B27" t="s">
        <v>93</v>
      </c>
      <c r="C27" t="s">
        <v>42</v>
      </c>
      <c r="D27" s="4"/>
    </row>
    <row r="28" spans="1:9" x14ac:dyDescent="0.15">
      <c r="A28">
        <v>400</v>
      </c>
      <c r="B28">
        <f>(A28/3600)*1000</f>
        <v>111.1111111111111</v>
      </c>
      <c r="C28">
        <v>130</v>
      </c>
      <c r="D28" s="4"/>
    </row>
    <row r="29" spans="1:9" x14ac:dyDescent="0.15">
      <c r="A29">
        <v>500</v>
      </c>
      <c r="B29">
        <f t="shared" ref="B29:B38" si="6">(A29/3600)*1000</f>
        <v>138.88888888888889</v>
      </c>
      <c r="C29" s="4">
        <v>129</v>
      </c>
    </row>
    <row r="30" spans="1:9" x14ac:dyDescent="0.15">
      <c r="A30" s="4">
        <v>600</v>
      </c>
      <c r="B30">
        <f t="shared" si="6"/>
        <v>166.66666666666666</v>
      </c>
      <c r="C30" s="4">
        <v>127</v>
      </c>
    </row>
    <row r="31" spans="1:9" x14ac:dyDescent="0.15">
      <c r="A31">
        <v>700</v>
      </c>
      <c r="B31">
        <f t="shared" si="6"/>
        <v>194.44444444444446</v>
      </c>
      <c r="C31">
        <v>125</v>
      </c>
    </row>
    <row r="32" spans="1:9" x14ac:dyDescent="0.15">
      <c r="A32">
        <v>800</v>
      </c>
      <c r="B32">
        <f t="shared" si="6"/>
        <v>222.2222222222222</v>
      </c>
      <c r="C32">
        <v>123</v>
      </c>
    </row>
    <row r="33" spans="1:3" x14ac:dyDescent="0.15">
      <c r="A33" s="4">
        <v>900</v>
      </c>
      <c r="B33">
        <f t="shared" si="6"/>
        <v>250</v>
      </c>
      <c r="C33">
        <v>120</v>
      </c>
    </row>
    <row r="34" spans="1:3" x14ac:dyDescent="0.15">
      <c r="A34">
        <v>1000</v>
      </c>
      <c r="B34">
        <f t="shared" si="6"/>
        <v>277.77777777777777</v>
      </c>
      <c r="C34">
        <v>118</v>
      </c>
    </row>
    <row r="35" spans="1:3" x14ac:dyDescent="0.15">
      <c r="A35">
        <v>1100</v>
      </c>
      <c r="B35">
        <f t="shared" si="6"/>
        <v>305.5555555555556</v>
      </c>
      <c r="C35">
        <v>115</v>
      </c>
    </row>
    <row r="36" spans="1:3" x14ac:dyDescent="0.15">
      <c r="A36" s="4">
        <v>1200</v>
      </c>
      <c r="B36">
        <f t="shared" si="6"/>
        <v>333.33333333333331</v>
      </c>
      <c r="C36">
        <v>110</v>
      </c>
    </row>
    <row r="37" spans="1:3" x14ac:dyDescent="0.15">
      <c r="A37">
        <v>1300</v>
      </c>
      <c r="B37">
        <f t="shared" si="6"/>
        <v>361.11111111111109</v>
      </c>
      <c r="C37">
        <v>105</v>
      </c>
    </row>
    <row r="38" spans="1:3" x14ac:dyDescent="0.15">
      <c r="A38">
        <v>1350</v>
      </c>
      <c r="B38">
        <f t="shared" si="6"/>
        <v>375</v>
      </c>
      <c r="C38">
        <v>100</v>
      </c>
    </row>
    <row r="56" spans="1:7" x14ac:dyDescent="0.15">
      <c r="A56" t="s">
        <v>48</v>
      </c>
    </row>
    <row r="57" spans="1:7" x14ac:dyDescent="0.15">
      <c r="B57" t="s">
        <v>49</v>
      </c>
    </row>
    <row r="58" spans="1:7" x14ac:dyDescent="0.15">
      <c r="B58">
        <f>9.7813406*1000</f>
        <v>9781.3405999999995</v>
      </c>
    </row>
    <row r="60" spans="1:7" x14ac:dyDescent="0.15">
      <c r="A60" t="s">
        <v>37</v>
      </c>
      <c r="B60" t="s">
        <v>38</v>
      </c>
      <c r="C60" t="s">
        <v>39</v>
      </c>
      <c r="D60" t="s">
        <v>40</v>
      </c>
      <c r="E60" t="s">
        <v>41</v>
      </c>
      <c r="F60" t="s">
        <v>42</v>
      </c>
      <c r="G60" t="s">
        <v>43</v>
      </c>
    </row>
    <row r="61" spans="1:7" x14ac:dyDescent="0.15">
      <c r="A61">
        <v>0</v>
      </c>
      <c r="B61">
        <v>0</v>
      </c>
      <c r="C61">
        <v>0</v>
      </c>
      <c r="D61">
        <v>0</v>
      </c>
      <c r="E61">
        <v>0</v>
      </c>
      <c r="F61">
        <f>($B$58*8*$H$3)/(3.12*3.12*9.81*$B$3*$B$3*$B$3*$B$3*$B$3*10^(-15))*A61*A61*10^(-6)+24.21</f>
        <v>24.21</v>
      </c>
      <c r="G61">
        <v>312.5</v>
      </c>
    </row>
    <row r="62" spans="1:7" x14ac:dyDescent="0.15">
      <c r="A62">
        <v>40</v>
      </c>
      <c r="B62">
        <f>(A62*0.001)/$C$3</f>
        <v>0.19167457864186957</v>
      </c>
      <c r="C62">
        <f>(1000*B62*$B$3*0.001)/$F$3</f>
        <v>98630.152442862236</v>
      </c>
      <c r="D62">
        <f>(-2*LOG(($E$3*C62^(0.89)+5.1206*3.7*$B$3)/(3.7*$B$3*C62^(0.89))))^(-2)</f>
        <v>1.7935307125596871E-2</v>
      </c>
      <c r="E62">
        <f>($D$62*B62*B62)/(2*9.81*$B$3*0.001)</f>
        <v>6.5136728259833238E-5</v>
      </c>
      <c r="F62">
        <f t="shared" ref="F62:F77" si="7">($B$58*8*$H$3)/(3.12*3.12*9.81*$B$3*$B$3*$B$3*$B$3*$B$3*10^(-15))*A62*A62*10^(-6)+24.21</f>
        <v>24.65044289275658</v>
      </c>
      <c r="G62">
        <v>312.5</v>
      </c>
    </row>
    <row r="63" spans="1:7" x14ac:dyDescent="0.15">
      <c r="A63">
        <v>80</v>
      </c>
      <c r="B63">
        <f t="shared" ref="B63:B77" si="8">(A63*0.001)/$C$3</f>
        <v>0.38334915728373914</v>
      </c>
      <c r="C63">
        <f t="shared" ref="C63:C77" si="9">(1000*B63*$B$3*0.001)/$F$3</f>
        <v>197260.30488572447</v>
      </c>
      <c r="D63">
        <f t="shared" ref="D63:D77" si="10">(-2*LOG(($E$3*C63^(0.89)+5.1206*3.7*$B$3)/(3.7*$B$3*C63^(0.89))))^(-2)</f>
        <v>1.5626269552460454E-2</v>
      </c>
      <c r="E63">
        <f t="shared" ref="E63:E77" si="11">($D$62*B63*B63)/(2*9.81*$B$3*0.001)</f>
        <v>2.6054691303933295E-4</v>
      </c>
      <c r="F63">
        <f t="shared" si="7"/>
        <v>25.97177157102632</v>
      </c>
      <c r="G63">
        <v>312.5</v>
      </c>
    </row>
    <row r="64" spans="1:7" x14ac:dyDescent="0.15">
      <c r="A64">
        <v>120</v>
      </c>
      <c r="B64">
        <f t="shared" si="8"/>
        <v>0.57502373592560874</v>
      </c>
      <c r="C64">
        <f t="shared" si="9"/>
        <v>295890.45732858672</v>
      </c>
      <c r="D64">
        <f t="shared" si="10"/>
        <v>1.44804372468137E-2</v>
      </c>
      <c r="E64">
        <f t="shared" si="11"/>
        <v>5.8623055433849923E-4</v>
      </c>
      <c r="F64">
        <f t="shared" si="7"/>
        <v>28.173986034809218</v>
      </c>
      <c r="G64">
        <v>312.5</v>
      </c>
    </row>
    <row r="65" spans="1:7" x14ac:dyDescent="0.15">
      <c r="A65">
        <v>160</v>
      </c>
      <c r="B65">
        <f t="shared" si="8"/>
        <v>0.76669831456747828</v>
      </c>
      <c r="C65">
        <f t="shared" si="9"/>
        <v>394520.60977144894</v>
      </c>
      <c r="D65">
        <f t="shared" si="10"/>
        <v>1.3744601633613004E-2</v>
      </c>
      <c r="E65">
        <f t="shared" si="11"/>
        <v>1.0421876521573318E-3</v>
      </c>
      <c r="F65">
        <f t="shared" si="7"/>
        <v>31.257086284105274</v>
      </c>
      <c r="G65">
        <v>312.5</v>
      </c>
    </row>
    <row r="66" spans="1:7" x14ac:dyDescent="0.15">
      <c r="A66">
        <v>200</v>
      </c>
      <c r="B66">
        <f t="shared" si="8"/>
        <v>0.95837289320934793</v>
      </c>
      <c r="C66">
        <f t="shared" si="9"/>
        <v>493150.76221431117</v>
      </c>
      <c r="D66">
        <f t="shared" si="10"/>
        <v>1.3213466134789058E-2</v>
      </c>
      <c r="E66">
        <f t="shared" si="11"/>
        <v>1.6284182064958313E-3</v>
      </c>
      <c r="F66">
        <f t="shared" si="7"/>
        <v>35.221072318914494</v>
      </c>
      <c r="G66">
        <v>312.5</v>
      </c>
    </row>
    <row r="67" spans="1:7" x14ac:dyDescent="0.15">
      <c r="A67">
        <v>240</v>
      </c>
      <c r="B67">
        <f t="shared" si="8"/>
        <v>1.1500474718512175</v>
      </c>
      <c r="C67">
        <f t="shared" si="9"/>
        <v>591780.91465717345</v>
      </c>
      <c r="D67">
        <f t="shared" si="10"/>
        <v>1.2803283156116649E-2</v>
      </c>
      <c r="E67">
        <f t="shared" si="11"/>
        <v>2.3449222173539969E-3</v>
      </c>
      <c r="F67">
        <f t="shared" si="7"/>
        <v>40.065944139236862</v>
      </c>
      <c r="G67">
        <v>312.5</v>
      </c>
    </row>
    <row r="68" spans="1:7" x14ac:dyDescent="0.15">
      <c r="A68">
        <v>280</v>
      </c>
      <c r="B68">
        <f t="shared" si="8"/>
        <v>1.3417220504930871</v>
      </c>
      <c r="C68">
        <f t="shared" si="9"/>
        <v>690411.06710003561</v>
      </c>
      <c r="D68">
        <f t="shared" si="10"/>
        <v>1.2472195642944014E-2</v>
      </c>
      <c r="E68">
        <f t="shared" si="11"/>
        <v>3.1916996847318299E-3</v>
      </c>
      <c r="F68">
        <f t="shared" si="7"/>
        <v>45.791701745072402</v>
      </c>
      <c r="G68">
        <v>312.5</v>
      </c>
    </row>
    <row r="69" spans="1:7" x14ac:dyDescent="0.15">
      <c r="A69" s="3">
        <v>320</v>
      </c>
      <c r="B69" s="3">
        <f t="shared" si="8"/>
        <v>1.5333966291349566</v>
      </c>
      <c r="C69" s="3">
        <f t="shared" si="9"/>
        <v>789041.21954289789</v>
      </c>
      <c r="D69" s="3">
        <f t="shared" si="10"/>
        <v>1.2196482273492636E-2</v>
      </c>
      <c r="E69" s="3">
        <f t="shared" si="11"/>
        <v>4.1687506086293272E-3</v>
      </c>
      <c r="F69">
        <f t="shared" si="7"/>
        <v>52.398345136421092</v>
      </c>
      <c r="G69">
        <v>312.5</v>
      </c>
    </row>
    <row r="70" spans="1:7" x14ac:dyDescent="0.15">
      <c r="A70">
        <v>360</v>
      </c>
      <c r="B70">
        <f t="shared" si="8"/>
        <v>1.725071207776826</v>
      </c>
      <c r="C70">
        <f t="shared" si="9"/>
        <v>887671.37198575994</v>
      </c>
      <c r="D70">
        <f t="shared" si="10"/>
        <v>1.1961488969988065E-2</v>
      </c>
      <c r="E70">
        <f t="shared" si="11"/>
        <v>5.2760749890464918E-3</v>
      </c>
      <c r="F70">
        <f t="shared" si="7"/>
        <v>59.88587431328294</v>
      </c>
      <c r="G70">
        <v>312.5</v>
      </c>
    </row>
    <row r="71" spans="1:7" x14ac:dyDescent="0.15">
      <c r="A71">
        <v>400</v>
      </c>
      <c r="B71">
        <f t="shared" si="8"/>
        <v>1.9167457864186959</v>
      </c>
      <c r="C71">
        <f t="shared" si="9"/>
        <v>986301.52442862233</v>
      </c>
      <c r="D71">
        <f t="shared" si="10"/>
        <v>1.1757573272790615E-2</v>
      </c>
      <c r="E71">
        <f t="shared" si="11"/>
        <v>6.513672825983325E-3</v>
      </c>
      <c r="F71">
        <f t="shared" si="7"/>
        <v>68.254289275657953</v>
      </c>
      <c r="G71">
        <v>312.5</v>
      </c>
    </row>
    <row r="72" spans="1:7" x14ac:dyDescent="0.15">
      <c r="A72">
        <v>440</v>
      </c>
      <c r="B72">
        <f t="shared" si="8"/>
        <v>2.1084203650605651</v>
      </c>
      <c r="C72">
        <f t="shared" si="9"/>
        <v>1084931.6768714844</v>
      </c>
      <c r="D72">
        <f t="shared" si="10"/>
        <v>1.1578076401976334E-2</v>
      </c>
      <c r="E72">
        <f t="shared" si="11"/>
        <v>7.8815441194398216E-3</v>
      </c>
      <c r="F72">
        <f t="shared" si="7"/>
        <v>77.503590023546138</v>
      </c>
      <c r="G72">
        <v>312.5</v>
      </c>
    </row>
    <row r="73" spans="1:7" x14ac:dyDescent="0.15">
      <c r="A73">
        <v>480</v>
      </c>
      <c r="B73">
        <f t="shared" si="8"/>
        <v>2.3000949437024349</v>
      </c>
      <c r="C73">
        <f t="shared" si="9"/>
        <v>1183561.8293143469</v>
      </c>
      <c r="D73">
        <f t="shared" si="10"/>
        <v>1.1418220922940191E-2</v>
      </c>
      <c r="E73">
        <f t="shared" si="11"/>
        <v>9.3796888694159877E-3</v>
      </c>
      <c r="F73">
        <f t="shared" si="7"/>
        <v>87.633776556947453</v>
      </c>
      <c r="G73">
        <v>312.5</v>
      </c>
    </row>
    <row r="74" spans="1:7" x14ac:dyDescent="0.15">
      <c r="A74">
        <v>520</v>
      </c>
      <c r="B74">
        <f t="shared" si="8"/>
        <v>2.4917695223443044</v>
      </c>
      <c r="C74">
        <f t="shared" si="9"/>
        <v>1282191.9817572089</v>
      </c>
      <c r="D74">
        <f t="shared" si="10"/>
        <v>1.1274471268951232E-2</v>
      </c>
      <c r="E74">
        <f t="shared" si="11"/>
        <v>1.1008107075911818E-2</v>
      </c>
      <c r="F74">
        <f t="shared" si="7"/>
        <v>98.644848875861953</v>
      </c>
      <c r="G74">
        <v>312.5</v>
      </c>
    </row>
    <row r="75" spans="1:7" x14ac:dyDescent="0.15">
      <c r="A75">
        <v>560</v>
      </c>
      <c r="B75">
        <f t="shared" si="8"/>
        <v>2.6834441009861743</v>
      </c>
      <c r="C75">
        <f t="shared" si="9"/>
        <v>1380822.1342000712</v>
      </c>
      <c r="D75">
        <f t="shared" si="10"/>
        <v>1.1144142880362883E-2</v>
      </c>
      <c r="E75">
        <f t="shared" si="11"/>
        <v>1.276679873892732E-2</v>
      </c>
      <c r="F75">
        <f t="shared" si="7"/>
        <v>110.53680698028958</v>
      </c>
      <c r="G75">
        <v>312.5</v>
      </c>
    </row>
    <row r="76" spans="1:7" x14ac:dyDescent="0.15">
      <c r="A76">
        <v>600</v>
      </c>
      <c r="B76">
        <f t="shared" si="8"/>
        <v>2.8751186796280432</v>
      </c>
      <c r="C76">
        <f t="shared" si="9"/>
        <v>1479452.286642933</v>
      </c>
      <c r="D76">
        <f t="shared" si="10"/>
        <v>1.1025152824918373E-2</v>
      </c>
      <c r="E76">
        <f t="shared" si="11"/>
        <v>1.4655763858462477E-2</v>
      </c>
      <c r="F76">
        <f t="shared" si="7"/>
        <v>123.3096508702304</v>
      </c>
      <c r="G76">
        <v>312.5</v>
      </c>
    </row>
    <row r="77" spans="1:7" x14ac:dyDescent="0.15">
      <c r="A77">
        <v>640</v>
      </c>
      <c r="B77">
        <f t="shared" si="8"/>
        <v>3.0667932582699131</v>
      </c>
      <c r="C77">
        <f t="shared" si="9"/>
        <v>1578082.4390857958</v>
      </c>
      <c r="D77">
        <f t="shared" si="10"/>
        <v>1.0915854865037425E-2</v>
      </c>
      <c r="E77">
        <f t="shared" si="11"/>
        <v>1.6675002434517309E-2</v>
      </c>
      <c r="F77">
        <f t="shared" si="7"/>
        <v>136.96338054568437</v>
      </c>
      <c r="G77">
        <v>312.5</v>
      </c>
    </row>
    <row r="81" spans="1:3" x14ac:dyDescent="0.15">
      <c r="A81" t="s">
        <v>94</v>
      </c>
    </row>
    <row r="82" spans="1:3" x14ac:dyDescent="0.15">
      <c r="B82" t="s">
        <v>93</v>
      </c>
      <c r="C82" t="s">
        <v>42</v>
      </c>
    </row>
    <row r="83" spans="1:3" x14ac:dyDescent="0.15">
      <c r="A83">
        <v>400</v>
      </c>
      <c r="B83">
        <f>(A83/3600)*1000</f>
        <v>111.1111111111111</v>
      </c>
      <c r="C83">
        <v>64</v>
      </c>
    </row>
    <row r="84" spans="1:3" x14ac:dyDescent="0.15">
      <c r="A84">
        <v>500</v>
      </c>
      <c r="B84">
        <f t="shared" ref="B84:B93" si="12">(A84/3600)*1000</f>
        <v>138.88888888888889</v>
      </c>
      <c r="C84" s="4">
        <v>63</v>
      </c>
    </row>
    <row r="85" spans="1:3" x14ac:dyDescent="0.15">
      <c r="A85" s="4">
        <v>600</v>
      </c>
      <c r="B85">
        <f t="shared" si="12"/>
        <v>166.66666666666666</v>
      </c>
      <c r="C85" s="4">
        <v>62</v>
      </c>
    </row>
    <row r="86" spans="1:3" x14ac:dyDescent="0.15">
      <c r="A86">
        <v>700</v>
      </c>
      <c r="B86">
        <f t="shared" si="12"/>
        <v>194.44444444444446</v>
      </c>
      <c r="C86">
        <v>61</v>
      </c>
    </row>
    <row r="87" spans="1:3" x14ac:dyDescent="0.15">
      <c r="A87">
        <v>800</v>
      </c>
      <c r="B87">
        <f t="shared" si="12"/>
        <v>222.2222222222222</v>
      </c>
      <c r="C87">
        <v>60</v>
      </c>
    </row>
    <row r="88" spans="1:3" x14ac:dyDescent="0.15">
      <c r="A88" s="4">
        <v>900</v>
      </c>
      <c r="B88">
        <f t="shared" si="12"/>
        <v>250</v>
      </c>
      <c r="C88">
        <v>58</v>
      </c>
    </row>
    <row r="89" spans="1:3" x14ac:dyDescent="0.15">
      <c r="A89">
        <v>1000</v>
      </c>
      <c r="B89">
        <f t="shared" si="12"/>
        <v>277.77777777777777</v>
      </c>
      <c r="C89">
        <v>56</v>
      </c>
    </row>
    <row r="90" spans="1:3" x14ac:dyDescent="0.15">
      <c r="A90">
        <v>1100</v>
      </c>
      <c r="B90">
        <f t="shared" si="12"/>
        <v>305.5555555555556</v>
      </c>
      <c r="C90">
        <v>54</v>
      </c>
    </row>
    <row r="91" spans="1:3" x14ac:dyDescent="0.15">
      <c r="A91" s="4">
        <v>1200</v>
      </c>
      <c r="B91">
        <f t="shared" si="12"/>
        <v>333.33333333333331</v>
      </c>
      <c r="C91">
        <v>51</v>
      </c>
    </row>
    <row r="92" spans="1:3" x14ac:dyDescent="0.15">
      <c r="A92">
        <v>1300</v>
      </c>
      <c r="B92">
        <f t="shared" si="12"/>
        <v>361.11111111111109</v>
      </c>
      <c r="C92">
        <v>49</v>
      </c>
    </row>
    <row r="93" spans="1:3" x14ac:dyDescent="0.15">
      <c r="A93">
        <v>1400</v>
      </c>
      <c r="B93">
        <f t="shared" si="12"/>
        <v>388.88888888888891</v>
      </c>
      <c r="C93">
        <v>48</v>
      </c>
    </row>
    <row r="110" spans="1:2" x14ac:dyDescent="0.15">
      <c r="A110" t="s">
        <v>50</v>
      </c>
    </row>
    <row r="111" spans="1:2" x14ac:dyDescent="0.15">
      <c r="B111" t="s">
        <v>49</v>
      </c>
    </row>
    <row r="112" spans="1:2" x14ac:dyDescent="0.15">
      <c r="B112">
        <f>9.82661334*1000</f>
        <v>9826.6133399999999</v>
      </c>
    </row>
    <row r="114" spans="1:7" x14ac:dyDescent="0.15">
      <c r="A114" t="s">
        <v>37</v>
      </c>
      <c r="B114" t="s">
        <v>38</v>
      </c>
      <c r="C114" t="s">
        <v>39</v>
      </c>
      <c r="D114" t="s">
        <v>40</v>
      </c>
      <c r="E114" t="s">
        <v>41</v>
      </c>
      <c r="F114" t="s">
        <v>42</v>
      </c>
      <c r="G114" t="s">
        <v>43</v>
      </c>
    </row>
    <row r="115" spans="1:7" x14ac:dyDescent="0.15">
      <c r="A115">
        <v>0</v>
      </c>
      <c r="B115">
        <v>0</v>
      </c>
      <c r="C115">
        <v>0</v>
      </c>
      <c r="D115">
        <v>0</v>
      </c>
      <c r="E115">
        <v>0</v>
      </c>
      <c r="F115">
        <f>($B$112*8*$H$3)/(3.12*3.12*9.81*$B$3*$B$3*$B$3*$B$3*$B$3*10^(-15))*A115*A115*10^(-6)+16.59</f>
        <v>16.59</v>
      </c>
      <c r="G115">
        <v>312.5</v>
      </c>
    </row>
    <row r="116" spans="1:7" x14ac:dyDescent="0.15">
      <c r="A116">
        <v>40</v>
      </c>
      <c r="B116">
        <f>(A116*0.001)/$C$3</f>
        <v>0.19167457864186957</v>
      </c>
      <c r="C116">
        <f>(1000*B116*$B$3*0.001)/$F$3</f>
        <v>98630.152442862236</v>
      </c>
      <c r="D116">
        <f>(-2*LOG(($E$3*C116^(0.89)+5.1206*3.7*$B$3)/(3.7*$B$3*C116^(0.89))))^(-2)</f>
        <v>1.7935307125596871E-2</v>
      </c>
      <c r="E116">
        <f t="shared" ref="E116:E131" si="13">($D$62*B116*B116)/(2*9.81*$B$3*0.001)</f>
        <v>6.5136728259833238E-5</v>
      </c>
      <c r="F116">
        <f t="shared" ref="F116:F131" si="14">($B$112*8*$H$3)/(3.12*3.12*9.81*$B$3*$B$3*$B$3*$B$3*$B$3*10^(-15))*A116*A116*10^(-6)+16.59</f>
        <v>17.03248147390655</v>
      </c>
      <c r="G116">
        <v>312.5</v>
      </c>
    </row>
    <row r="117" spans="1:7" x14ac:dyDescent="0.15">
      <c r="A117">
        <v>80</v>
      </c>
      <c r="B117">
        <f t="shared" ref="B117:B131" si="15">(A117*0.001)/$C$3</f>
        <v>0.38334915728373914</v>
      </c>
      <c r="C117">
        <f t="shared" ref="C117:C131" si="16">(1000*B117*$B$3*0.001)/$F$3</f>
        <v>197260.30488572447</v>
      </c>
      <c r="D117">
        <f t="shared" ref="D117:D131" si="17">(-2*LOG(($E$3*C117^(0.89)+5.1206*3.7*$B$3)/(3.7*$B$3*C117^(0.89))))^(-2)</f>
        <v>1.5626269552460454E-2</v>
      </c>
      <c r="E117">
        <f t="shared" si="13"/>
        <v>2.6054691303933295E-4</v>
      </c>
      <c r="F117">
        <f t="shared" si="14"/>
        <v>18.359925895626205</v>
      </c>
      <c r="G117">
        <v>312.5</v>
      </c>
    </row>
    <row r="118" spans="1:7" x14ac:dyDescent="0.15">
      <c r="A118">
        <v>120</v>
      </c>
      <c r="B118">
        <f t="shared" si="15"/>
        <v>0.57502373592560874</v>
      </c>
      <c r="C118">
        <f t="shared" si="16"/>
        <v>295890.45732858672</v>
      </c>
      <c r="D118">
        <f t="shared" si="17"/>
        <v>1.44804372468137E-2</v>
      </c>
      <c r="E118">
        <f t="shared" si="13"/>
        <v>5.8623055433849923E-4</v>
      </c>
      <c r="F118">
        <f t="shared" si="14"/>
        <v>20.572333265158964</v>
      </c>
      <c r="G118">
        <v>312.5</v>
      </c>
    </row>
    <row r="119" spans="1:7" x14ac:dyDescent="0.15">
      <c r="A119">
        <v>160</v>
      </c>
      <c r="B119">
        <f t="shared" si="15"/>
        <v>0.76669831456747828</v>
      </c>
      <c r="C119">
        <f t="shared" si="16"/>
        <v>394520.60977144894</v>
      </c>
      <c r="D119">
        <f t="shared" si="17"/>
        <v>1.3744601633613004E-2</v>
      </c>
      <c r="E119">
        <f t="shared" si="13"/>
        <v>1.0421876521573318E-3</v>
      </c>
      <c r="F119">
        <f t="shared" si="14"/>
        <v>23.669703582504827</v>
      </c>
      <c r="G119">
        <v>312.5</v>
      </c>
    </row>
    <row r="120" spans="1:7" x14ac:dyDescent="0.15">
      <c r="A120">
        <v>200</v>
      </c>
      <c r="B120">
        <f t="shared" si="15"/>
        <v>0.95837289320934793</v>
      </c>
      <c r="C120">
        <f t="shared" si="16"/>
        <v>493150.76221431117</v>
      </c>
      <c r="D120">
        <f t="shared" si="17"/>
        <v>1.3213466134789058E-2</v>
      </c>
      <c r="E120">
        <f t="shared" si="13"/>
        <v>1.6284182064958313E-3</v>
      </c>
      <c r="F120">
        <f t="shared" si="14"/>
        <v>27.652036847663791</v>
      </c>
      <c r="G120">
        <v>312.5</v>
      </c>
    </row>
    <row r="121" spans="1:7" x14ac:dyDescent="0.15">
      <c r="A121">
        <v>240</v>
      </c>
      <c r="B121">
        <f t="shared" si="15"/>
        <v>1.1500474718512175</v>
      </c>
      <c r="C121">
        <f t="shared" si="16"/>
        <v>591780.91465717345</v>
      </c>
      <c r="D121">
        <f t="shared" si="17"/>
        <v>1.2803283156116649E-2</v>
      </c>
      <c r="E121">
        <f t="shared" si="13"/>
        <v>2.3449222173539969E-3</v>
      </c>
      <c r="F121">
        <f t="shared" si="14"/>
        <v>32.519333060635859</v>
      </c>
      <c r="G121">
        <v>312.5</v>
      </c>
    </row>
    <row r="122" spans="1:7" x14ac:dyDescent="0.15">
      <c r="A122">
        <v>280</v>
      </c>
      <c r="B122">
        <f t="shared" si="15"/>
        <v>1.3417220504930871</v>
      </c>
      <c r="C122">
        <f t="shared" si="16"/>
        <v>690411.06710003561</v>
      </c>
      <c r="D122">
        <f t="shared" si="17"/>
        <v>1.2472195642944014E-2</v>
      </c>
      <c r="E122">
        <f t="shared" si="13"/>
        <v>3.1916996847318299E-3</v>
      </c>
      <c r="F122">
        <f t="shared" si="14"/>
        <v>38.271592221421031</v>
      </c>
      <c r="G122">
        <v>312.5</v>
      </c>
    </row>
    <row r="123" spans="1:7" x14ac:dyDescent="0.15">
      <c r="A123" s="3">
        <v>320</v>
      </c>
      <c r="B123" s="3">
        <f t="shared" si="15"/>
        <v>1.5333966291349566</v>
      </c>
      <c r="C123" s="3">
        <f t="shared" si="16"/>
        <v>789041.21954289789</v>
      </c>
      <c r="D123" s="3">
        <f t="shared" si="17"/>
        <v>1.2196482273492636E-2</v>
      </c>
      <c r="E123" s="3">
        <f t="shared" si="13"/>
        <v>4.1687506086293272E-3</v>
      </c>
      <c r="F123">
        <f t="shared" si="14"/>
        <v>44.908814330019311</v>
      </c>
      <c r="G123">
        <v>312.5</v>
      </c>
    </row>
    <row r="124" spans="1:7" x14ac:dyDescent="0.15">
      <c r="A124">
        <v>360</v>
      </c>
      <c r="B124">
        <f t="shared" si="15"/>
        <v>1.725071207776826</v>
      </c>
      <c r="C124">
        <f t="shared" si="16"/>
        <v>887671.37198575994</v>
      </c>
      <c r="D124">
        <f t="shared" si="17"/>
        <v>1.1961488969988065E-2</v>
      </c>
      <c r="E124">
        <f t="shared" si="13"/>
        <v>5.2760749890464918E-3</v>
      </c>
      <c r="F124">
        <f t="shared" si="14"/>
        <v>52.430999386430685</v>
      </c>
      <c r="G124">
        <v>312.5</v>
      </c>
    </row>
    <row r="125" spans="1:7" x14ac:dyDescent="0.15">
      <c r="A125">
        <v>400</v>
      </c>
      <c r="B125">
        <f t="shared" si="15"/>
        <v>1.9167457864186959</v>
      </c>
      <c r="C125">
        <f t="shared" si="16"/>
        <v>986301.52442862233</v>
      </c>
      <c r="D125">
        <f t="shared" si="17"/>
        <v>1.1757573272790615E-2</v>
      </c>
      <c r="E125">
        <f t="shared" si="13"/>
        <v>6.513672825983325E-3</v>
      </c>
      <c r="F125">
        <f t="shared" si="14"/>
        <v>60.838147390655166</v>
      </c>
      <c r="G125">
        <v>312.5</v>
      </c>
    </row>
    <row r="126" spans="1:7" x14ac:dyDescent="0.15">
      <c r="A126">
        <v>440</v>
      </c>
      <c r="B126">
        <f t="shared" si="15"/>
        <v>2.1084203650605651</v>
      </c>
      <c r="C126">
        <f t="shared" si="16"/>
        <v>1084931.6768714844</v>
      </c>
      <c r="D126">
        <f t="shared" si="17"/>
        <v>1.1578076401976334E-2</v>
      </c>
      <c r="E126">
        <f t="shared" si="13"/>
        <v>7.8815441194398216E-3</v>
      </c>
      <c r="F126">
        <f t="shared" si="14"/>
        <v>70.130258342692755</v>
      </c>
      <c r="G126">
        <v>312.5</v>
      </c>
    </row>
    <row r="127" spans="1:7" x14ac:dyDescent="0.15">
      <c r="A127">
        <v>480</v>
      </c>
      <c r="B127">
        <f t="shared" si="15"/>
        <v>2.3000949437024349</v>
      </c>
      <c r="C127">
        <f t="shared" si="16"/>
        <v>1183561.8293143469</v>
      </c>
      <c r="D127">
        <f t="shared" si="17"/>
        <v>1.1418220922940191E-2</v>
      </c>
      <c r="E127">
        <f t="shared" si="13"/>
        <v>9.3796888694159877E-3</v>
      </c>
      <c r="F127">
        <f t="shared" si="14"/>
        <v>80.307332242543438</v>
      </c>
      <c r="G127">
        <v>312.5</v>
      </c>
    </row>
    <row r="128" spans="1:7" x14ac:dyDescent="0.15">
      <c r="A128">
        <v>520</v>
      </c>
      <c r="B128">
        <f t="shared" si="15"/>
        <v>2.4917695223443044</v>
      </c>
      <c r="C128">
        <f t="shared" si="16"/>
        <v>1282191.9817572089</v>
      </c>
      <c r="D128">
        <f t="shared" si="17"/>
        <v>1.1274471268951232E-2</v>
      </c>
      <c r="E128">
        <f t="shared" si="13"/>
        <v>1.1008107075911818E-2</v>
      </c>
      <c r="F128">
        <f t="shared" si="14"/>
        <v>91.369369090207229</v>
      </c>
      <c r="G128">
        <v>312.5</v>
      </c>
    </row>
    <row r="129" spans="1:7" x14ac:dyDescent="0.15">
      <c r="A129">
        <v>560</v>
      </c>
      <c r="B129">
        <f t="shared" si="15"/>
        <v>2.6834441009861743</v>
      </c>
      <c r="C129">
        <f t="shared" si="16"/>
        <v>1380822.1342000712</v>
      </c>
      <c r="D129">
        <f t="shared" si="17"/>
        <v>1.1144142880362883E-2</v>
      </c>
      <c r="E129">
        <f t="shared" si="13"/>
        <v>1.276679873892732E-2</v>
      </c>
      <c r="F129">
        <f t="shared" si="14"/>
        <v>103.31636888568413</v>
      </c>
      <c r="G129">
        <v>312.5</v>
      </c>
    </row>
    <row r="130" spans="1:7" x14ac:dyDescent="0.15">
      <c r="A130">
        <v>600</v>
      </c>
      <c r="B130">
        <f t="shared" si="15"/>
        <v>2.8751186796280432</v>
      </c>
      <c r="C130">
        <f t="shared" si="16"/>
        <v>1479452.286642933</v>
      </c>
      <c r="D130">
        <f t="shared" si="17"/>
        <v>1.1025152824918373E-2</v>
      </c>
      <c r="E130">
        <f t="shared" si="13"/>
        <v>1.4655763858462477E-2</v>
      </c>
      <c r="F130">
        <f t="shared" si="14"/>
        <v>116.14833162897412</v>
      </c>
      <c r="G130">
        <v>312.5</v>
      </c>
    </row>
    <row r="131" spans="1:7" x14ac:dyDescent="0.15">
      <c r="A131">
        <v>640</v>
      </c>
      <c r="B131">
        <f t="shared" si="15"/>
        <v>3.0667932582699131</v>
      </c>
      <c r="C131">
        <f t="shared" si="16"/>
        <v>1578082.4390857958</v>
      </c>
      <c r="D131">
        <f t="shared" si="17"/>
        <v>1.0915854865037425E-2</v>
      </c>
      <c r="E131">
        <f t="shared" si="13"/>
        <v>1.6675002434517309E-2</v>
      </c>
      <c r="F131">
        <f t="shared" si="14"/>
        <v>129.86525732007723</v>
      </c>
      <c r="G131">
        <v>312.5</v>
      </c>
    </row>
    <row r="135" spans="1:7" x14ac:dyDescent="0.15">
      <c r="A135" t="s">
        <v>94</v>
      </c>
    </row>
    <row r="136" spans="1:7" x14ac:dyDescent="0.15">
      <c r="B136" t="s">
        <v>93</v>
      </c>
      <c r="C136" t="s">
        <v>42</v>
      </c>
    </row>
    <row r="137" spans="1:7" x14ac:dyDescent="0.15">
      <c r="A137">
        <v>400</v>
      </c>
      <c r="B137">
        <f>(A137/3600)*1000</f>
        <v>111.1111111111111</v>
      </c>
      <c r="C137">
        <v>57</v>
      </c>
    </row>
    <row r="138" spans="1:7" x14ac:dyDescent="0.15">
      <c r="A138">
        <v>500</v>
      </c>
      <c r="B138">
        <f t="shared" ref="B138:B147" si="18">(A138/3600)*1000</f>
        <v>138.88888888888889</v>
      </c>
      <c r="C138" s="4">
        <v>56</v>
      </c>
    </row>
    <row r="139" spans="1:7" x14ac:dyDescent="0.15">
      <c r="A139" s="4">
        <v>600</v>
      </c>
      <c r="B139">
        <f t="shared" si="18"/>
        <v>166.66666666666666</v>
      </c>
      <c r="C139" s="4">
        <v>55</v>
      </c>
    </row>
    <row r="140" spans="1:7" x14ac:dyDescent="0.15">
      <c r="A140">
        <v>700</v>
      </c>
      <c r="B140">
        <f t="shared" si="18"/>
        <v>194.44444444444446</v>
      </c>
      <c r="C140">
        <v>54</v>
      </c>
    </row>
    <row r="141" spans="1:7" x14ac:dyDescent="0.15">
      <c r="A141">
        <v>800</v>
      </c>
      <c r="B141">
        <f t="shared" si="18"/>
        <v>222.2222222222222</v>
      </c>
      <c r="C141">
        <v>53</v>
      </c>
    </row>
    <row r="142" spans="1:7" x14ac:dyDescent="0.15">
      <c r="A142" s="4">
        <v>900</v>
      </c>
      <c r="B142">
        <f t="shared" si="18"/>
        <v>250</v>
      </c>
      <c r="C142">
        <v>52</v>
      </c>
    </row>
    <row r="143" spans="1:7" x14ac:dyDescent="0.15">
      <c r="A143">
        <v>1000</v>
      </c>
      <c r="B143">
        <f t="shared" si="18"/>
        <v>277.77777777777777</v>
      </c>
      <c r="C143">
        <v>49</v>
      </c>
    </row>
    <row r="144" spans="1:7" x14ac:dyDescent="0.15">
      <c r="A144">
        <v>1100</v>
      </c>
      <c r="B144">
        <f t="shared" si="18"/>
        <v>305.5555555555556</v>
      </c>
      <c r="C144">
        <v>48</v>
      </c>
    </row>
    <row r="145" spans="1:3" x14ac:dyDescent="0.15">
      <c r="A145" s="4">
        <v>1200</v>
      </c>
      <c r="B145">
        <f t="shared" si="18"/>
        <v>333.33333333333331</v>
      </c>
      <c r="C145">
        <v>46</v>
      </c>
    </row>
    <row r="146" spans="1:3" x14ac:dyDescent="0.15">
      <c r="A146">
        <v>1300</v>
      </c>
      <c r="B146">
        <f t="shared" si="18"/>
        <v>361.11111111111109</v>
      </c>
      <c r="C146">
        <v>42</v>
      </c>
    </row>
    <row r="147" spans="1:3" x14ac:dyDescent="0.15">
      <c r="A147">
        <v>1400</v>
      </c>
      <c r="B147">
        <f t="shared" si="18"/>
        <v>388.88888888888891</v>
      </c>
      <c r="C147">
        <v>38</v>
      </c>
    </row>
  </sheetData>
  <hyperlinks>
    <hyperlink ref="I8" r:id="rId1" xr:uid="{987EBB06-E443-46AA-B72D-ACAF1C3734E7}"/>
  </hyperlinks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8392A1-E783-4F01-BC8B-7EF227799E7D}">
  <dimension ref="A1:J278"/>
  <sheetViews>
    <sheetView topLeftCell="A270" zoomScale="110" zoomScaleNormal="110" workbookViewId="0">
      <selection activeCell="I274" sqref="I274"/>
    </sheetView>
  </sheetViews>
  <sheetFormatPr baseColWidth="10" defaultColWidth="8.83203125" defaultRowHeight="13" x14ac:dyDescent="0.15"/>
  <cols>
    <col min="1" max="1" width="17.5" customWidth="1"/>
    <col min="2" max="2" width="20.5" customWidth="1"/>
    <col min="3" max="3" width="22" customWidth="1"/>
    <col min="4" max="4" width="23.83203125" customWidth="1"/>
    <col min="5" max="5" width="21.5" customWidth="1"/>
    <col min="6" max="6" width="22.5" customWidth="1"/>
    <col min="7" max="7" width="24.5" customWidth="1"/>
    <col min="8" max="8" width="17.33203125" customWidth="1"/>
    <col min="9" max="9" width="17.6640625" customWidth="1"/>
    <col min="10" max="10" width="19.5" customWidth="1"/>
  </cols>
  <sheetData>
    <row r="1" spans="1:6" x14ac:dyDescent="0.15">
      <c r="A1" s="4" t="s">
        <v>51</v>
      </c>
      <c r="B1" s="4" t="s">
        <v>52</v>
      </c>
      <c r="C1" s="4" t="s">
        <v>53</v>
      </c>
      <c r="D1" s="4" t="s">
        <v>54</v>
      </c>
      <c r="E1" s="4" t="s">
        <v>55</v>
      </c>
      <c r="F1" s="4" t="s">
        <v>56</v>
      </c>
    </row>
    <row r="2" spans="1:6" x14ac:dyDescent="0.15">
      <c r="A2" s="4">
        <v>57.549931569000002</v>
      </c>
      <c r="B2" s="4">
        <v>-2.4369999619999998</v>
      </c>
      <c r="C2" s="4">
        <v>98.4</v>
      </c>
      <c r="D2" s="4">
        <v>1.00443579017648</v>
      </c>
      <c r="E2" s="4">
        <v>-4.2533673207877001E-2</v>
      </c>
      <c r="F2" s="4">
        <v>0</v>
      </c>
    </row>
    <row r="3" spans="1:6" x14ac:dyDescent="0.15">
      <c r="A3" s="4">
        <v>57.547534880000001</v>
      </c>
      <c r="B3" s="4">
        <v>-2.437388194</v>
      </c>
      <c r="C3" s="4">
        <v>101</v>
      </c>
      <c r="D3" s="4">
        <v>1.00439396006228</v>
      </c>
      <c r="E3" s="4">
        <v>-4.2540449134538E-2</v>
      </c>
      <c r="F3" s="4">
        <f>2*ASIN(SQRT((SIN((D3-D2)/2))^2+COS(D2)*COS(D3)*(SIN((E3-E2)/2))^2))*6371+F2</f>
        <v>0.26750445912670062</v>
      </c>
    </row>
    <row r="4" spans="1:6" x14ac:dyDescent="0.15">
      <c r="A4" s="4">
        <v>57.545914121000003</v>
      </c>
      <c r="B4" s="4">
        <v>-2.43717359</v>
      </c>
      <c r="C4" s="4">
        <v>103.5</v>
      </c>
      <c r="D4" s="4">
        <v>1.0043656724813499</v>
      </c>
      <c r="E4" s="4">
        <v>-4.2536703588150003E-2</v>
      </c>
      <c r="F4" s="4">
        <f t="shared" ref="F4:F67" si="0">2*ASIN(SQRT((SIN((D4-D3)/2))^2+COS(D3)*COS(D4)*(SIN((E4-E3)/2))^2))*6371+F3</f>
        <v>0.44817898171090326</v>
      </c>
    </row>
    <row r="5" spans="1:6" x14ac:dyDescent="0.15">
      <c r="A5" s="4">
        <v>57.543923083000003</v>
      </c>
      <c r="B5" s="4">
        <v>-2.436140596</v>
      </c>
      <c r="C5" s="4">
        <v>105.9</v>
      </c>
      <c r="D5" s="4">
        <v>1.0043309223127199</v>
      </c>
      <c r="E5" s="4">
        <v>-4.2518674441696998E-2</v>
      </c>
      <c r="F5" s="4">
        <f t="shared" si="0"/>
        <v>0.67799309022309617</v>
      </c>
    </row>
    <row r="6" spans="1:6" x14ac:dyDescent="0.15">
      <c r="A6" s="4">
        <v>57.539884460000003</v>
      </c>
      <c r="B6" s="4">
        <v>-2.4337534110000001</v>
      </c>
      <c r="C6" s="4">
        <v>88.3</v>
      </c>
      <c r="D6" s="4">
        <v>1.00426043504412</v>
      </c>
      <c r="E6" s="4">
        <v>-4.2477010203592999E-2</v>
      </c>
      <c r="F6" s="4">
        <f t="shared" si="0"/>
        <v>1.1491217902994593</v>
      </c>
    </row>
    <row r="7" spans="1:6" x14ac:dyDescent="0.15">
      <c r="A7" s="4">
        <v>57.537131850000002</v>
      </c>
      <c r="B7" s="4">
        <v>-2.4334780569999999</v>
      </c>
      <c r="C7" s="4">
        <v>66.3</v>
      </c>
      <c r="D7" s="4">
        <v>1.0042123929366</v>
      </c>
      <c r="E7" s="4">
        <v>-4.2472204369683998E-2</v>
      </c>
      <c r="F7" s="4">
        <f t="shared" si="0"/>
        <v>1.4556389129937735</v>
      </c>
    </row>
    <row r="8" spans="1:6" x14ac:dyDescent="0.15">
      <c r="A8" s="4">
        <v>57.531946697999999</v>
      </c>
      <c r="B8" s="4">
        <v>-2.433220833</v>
      </c>
      <c r="C8" s="4">
        <v>52</v>
      </c>
      <c r="D8" s="4">
        <v>1.0041218949619799</v>
      </c>
      <c r="E8" s="4">
        <v>-4.2467714963968999E-2</v>
      </c>
      <c r="F8" s="4">
        <f t="shared" si="0"/>
        <v>2.0324058948031816</v>
      </c>
    </row>
    <row r="9" spans="1:6" x14ac:dyDescent="0.15">
      <c r="A9" s="4">
        <v>57.527759639000003</v>
      </c>
      <c r="B9" s="4">
        <v>-2.4330599990000001</v>
      </c>
      <c r="C9" s="4">
        <v>50.1</v>
      </c>
      <c r="D9" s="4">
        <v>1.0040488169964501</v>
      </c>
      <c r="E9" s="4">
        <v>-4.246490788112E-2</v>
      </c>
      <c r="F9" s="4">
        <f t="shared" si="0"/>
        <v>2.4980846000901136</v>
      </c>
    </row>
    <row r="10" spans="1:6" x14ac:dyDescent="0.15">
      <c r="A10" s="4">
        <v>57.523310627999997</v>
      </c>
      <c r="B10" s="4">
        <v>-2.4301936930000001</v>
      </c>
      <c r="C10" s="4">
        <v>46</v>
      </c>
      <c r="D10" s="4">
        <v>1.0039711671060501</v>
      </c>
      <c r="E10" s="4">
        <v>-4.2414881404050003E-2</v>
      </c>
      <c r="F10" s="4">
        <f t="shared" si="0"/>
        <v>3.0215539127321129</v>
      </c>
    </row>
    <row r="11" spans="1:6" x14ac:dyDescent="0.15">
      <c r="A11" s="4">
        <v>57.516661675999998</v>
      </c>
      <c r="B11" s="4">
        <v>-2.4279008900000001</v>
      </c>
      <c r="C11" s="4">
        <v>49</v>
      </c>
      <c r="D11" s="4">
        <v>1.00385512100184</v>
      </c>
      <c r="E11" s="4">
        <v>-4.2374864442601003E-2</v>
      </c>
      <c r="F11" s="4">
        <f t="shared" si="0"/>
        <v>3.7734530957676613</v>
      </c>
    </row>
    <row r="12" spans="1:6" x14ac:dyDescent="0.15">
      <c r="A12" s="4">
        <v>57.51169136</v>
      </c>
      <c r="B12" s="4">
        <v>-2.425144537</v>
      </c>
      <c r="C12" s="4">
        <v>58.9</v>
      </c>
      <c r="D12" s="4">
        <v>1.00376837262278</v>
      </c>
      <c r="E12" s="4">
        <v>-4.2326757007404001E-2</v>
      </c>
      <c r="F12" s="4">
        <f t="shared" si="0"/>
        <v>4.3501214056206861</v>
      </c>
    </row>
    <row r="13" spans="1:6" x14ac:dyDescent="0.15">
      <c r="A13" s="4">
        <v>57.505820262999997</v>
      </c>
      <c r="B13" s="4">
        <v>-2.4221343590000002</v>
      </c>
      <c r="C13" s="4">
        <v>64</v>
      </c>
      <c r="D13" s="4">
        <v>1.0036659026494199</v>
      </c>
      <c r="E13" s="4">
        <v>-4.2274219490232003E-2</v>
      </c>
      <c r="F13" s="4">
        <f t="shared" si="0"/>
        <v>5.0272647532464694</v>
      </c>
    </row>
    <row r="14" spans="1:6" x14ac:dyDescent="0.15">
      <c r="A14" s="4">
        <v>57.503736670999999</v>
      </c>
      <c r="B14" s="4">
        <v>-2.4216654040000001</v>
      </c>
      <c r="C14" s="4">
        <v>60.5</v>
      </c>
      <c r="D14" s="4">
        <v>1.00362953710875</v>
      </c>
      <c r="E14" s="4">
        <v>-4.2266034681439003E-2</v>
      </c>
      <c r="F14" s="4">
        <f t="shared" si="0"/>
        <v>5.2606371184421068</v>
      </c>
    </row>
    <row r="15" spans="1:6" x14ac:dyDescent="0.15">
      <c r="A15" s="4">
        <v>57.502210585</v>
      </c>
      <c r="B15" s="4">
        <v>-2.4218236900000001</v>
      </c>
      <c r="C15" s="4">
        <v>58</v>
      </c>
      <c r="D15" s="4">
        <v>1.0036029018833801</v>
      </c>
      <c r="E15" s="4">
        <v>-4.2268797293299E-2</v>
      </c>
      <c r="F15" s="4">
        <f t="shared" si="0"/>
        <v>5.4305934002639003</v>
      </c>
    </row>
    <row r="16" spans="1:6" x14ac:dyDescent="0.15">
      <c r="A16" s="4">
        <v>57.499343518000003</v>
      </c>
      <c r="B16" s="4">
        <v>-2.4226850259999999</v>
      </c>
      <c r="C16" s="4">
        <v>56</v>
      </c>
      <c r="D16" s="4">
        <v>1.0035528621243599</v>
      </c>
      <c r="E16" s="4">
        <v>-4.2283830442464997E-2</v>
      </c>
      <c r="F16" s="4">
        <f t="shared" si="0"/>
        <v>5.7535231427068174</v>
      </c>
    </row>
    <row r="17" spans="1:6" x14ac:dyDescent="0.15">
      <c r="A17" s="4">
        <v>57.497609595999997</v>
      </c>
      <c r="B17" s="4">
        <v>-2.4232339399999998</v>
      </c>
      <c r="C17" s="4">
        <v>56.1</v>
      </c>
      <c r="D17" s="4">
        <v>1.00352259947649</v>
      </c>
      <c r="E17" s="4">
        <v>-4.2293410799074997E-2</v>
      </c>
      <c r="F17" s="4">
        <f t="shared" si="0"/>
        <v>5.9490959338328331</v>
      </c>
    </row>
    <row r="18" spans="1:6" x14ac:dyDescent="0.15">
      <c r="A18" s="4">
        <v>57.493191179</v>
      </c>
      <c r="B18" s="4">
        <v>-2.4241526430000002</v>
      </c>
      <c r="C18" s="4">
        <v>58.8</v>
      </c>
      <c r="D18" s="4">
        <v>1.0034454835521101</v>
      </c>
      <c r="E18" s="4">
        <v>-4.2309445191272999E-2</v>
      </c>
      <c r="F18" s="4">
        <f t="shared" si="0"/>
        <v>6.4434587446160583</v>
      </c>
    </row>
    <row r="19" spans="1:6" x14ac:dyDescent="0.15">
      <c r="A19" s="4">
        <v>57.492020099000001</v>
      </c>
      <c r="B19" s="4">
        <v>-2.4239842189999998</v>
      </c>
      <c r="C19" s="4">
        <v>54</v>
      </c>
      <c r="D19" s="4">
        <v>1.0034250443503101</v>
      </c>
      <c r="E19" s="4">
        <v>-4.2306505637932999E-2</v>
      </c>
      <c r="F19" s="4">
        <f t="shared" si="0"/>
        <v>6.5740652626066964</v>
      </c>
    </row>
    <row r="20" spans="1:6" x14ac:dyDescent="0.15">
      <c r="A20" s="4">
        <v>57.487661347</v>
      </c>
      <c r="B20" s="4">
        <v>-2.4254928320000002</v>
      </c>
      <c r="C20" s="4">
        <v>53</v>
      </c>
      <c r="D20" s="4">
        <v>1.00334896977663</v>
      </c>
      <c r="E20" s="4">
        <v>-4.2332835901922002E-2</v>
      </c>
      <c r="F20" s="4">
        <f t="shared" si="0"/>
        <v>7.0670504512366756</v>
      </c>
    </row>
    <row r="21" spans="1:6" x14ac:dyDescent="0.15">
      <c r="A21" s="4">
        <v>57.483272691000003</v>
      </c>
      <c r="B21" s="4">
        <v>-2.427186061</v>
      </c>
      <c r="C21" s="4">
        <v>55.2</v>
      </c>
      <c r="D21" s="4">
        <v>1.00327237327969</v>
      </c>
      <c r="E21" s="4">
        <v>-4.2362388322961998E-2</v>
      </c>
      <c r="F21" s="4">
        <f t="shared" si="0"/>
        <v>7.5654300871639286</v>
      </c>
    </row>
    <row r="22" spans="1:6" x14ac:dyDescent="0.15">
      <c r="A22" s="4">
        <v>57.481934180000003</v>
      </c>
      <c r="B22" s="4">
        <v>-2.4269352949999998</v>
      </c>
      <c r="C22" s="4">
        <v>59</v>
      </c>
      <c r="D22" s="4">
        <v>1.0032490118556701</v>
      </c>
      <c r="E22" s="4">
        <v>-4.2358011630610003E-2</v>
      </c>
      <c r="F22" s="4">
        <f t="shared" si="0"/>
        <v>7.7150185899288717</v>
      </c>
    </row>
    <row r="23" spans="1:6" x14ac:dyDescent="0.15">
      <c r="A23" s="4">
        <v>57.480468031999997</v>
      </c>
      <c r="B23" s="4">
        <v>-2.4254103389999999</v>
      </c>
      <c r="C23" s="4">
        <v>61</v>
      </c>
      <c r="D23" s="4">
        <v>1.0032234227457499</v>
      </c>
      <c r="E23" s="4">
        <v>-4.2331396127462E-2</v>
      </c>
      <c r="F23" s="4">
        <f t="shared" si="0"/>
        <v>7.9018005674349618</v>
      </c>
    </row>
    <row r="24" spans="1:6" x14ac:dyDescent="0.15">
      <c r="A24" s="4">
        <v>57.478018257000002</v>
      </c>
      <c r="B24" s="4">
        <v>-2.4233569639999999</v>
      </c>
      <c r="C24" s="4">
        <v>57.2</v>
      </c>
      <c r="D24" s="4">
        <v>1.00318066610606</v>
      </c>
      <c r="E24" s="4">
        <v>-4.2295557972934002E-2</v>
      </c>
      <c r="F24" s="4">
        <f t="shared" si="0"/>
        <v>8.2005820507752745</v>
      </c>
    </row>
    <row r="25" spans="1:6" x14ac:dyDescent="0.15">
      <c r="A25" s="4">
        <v>57.474949897000002</v>
      </c>
      <c r="B25" s="4">
        <v>-2.4223766379999998</v>
      </c>
      <c r="C25" s="4">
        <v>57.3</v>
      </c>
      <c r="D25" s="4">
        <v>1.0031271131214301</v>
      </c>
      <c r="E25" s="4">
        <v>-4.2278448056491003E-2</v>
      </c>
      <c r="F25" s="4">
        <f t="shared" si="0"/>
        <v>8.5467651614673503</v>
      </c>
    </row>
    <row r="26" spans="1:6" x14ac:dyDescent="0.15">
      <c r="A26" s="4">
        <v>57.472078938000003</v>
      </c>
      <c r="B26" s="4">
        <v>-2.4207523580000001</v>
      </c>
      <c r="C26" s="4">
        <v>56.2</v>
      </c>
      <c r="D26" s="4">
        <v>1.00307700543419</v>
      </c>
      <c r="E26" s="4">
        <v>-4.2250099022517001E-2</v>
      </c>
      <c r="F26" s="4">
        <f t="shared" si="0"/>
        <v>8.8804455565690805</v>
      </c>
    </row>
    <row r="27" spans="1:6" x14ac:dyDescent="0.15">
      <c r="A27" s="4">
        <v>57.470013360000003</v>
      </c>
      <c r="B27" s="4">
        <v>-2.4193630119999998</v>
      </c>
      <c r="C27" s="4">
        <v>58</v>
      </c>
      <c r="D27" s="4">
        <v>1.0030409542971299</v>
      </c>
      <c r="E27" s="4">
        <v>-4.2225850360367002E-2</v>
      </c>
      <c r="F27" s="4">
        <f t="shared" si="0"/>
        <v>9.1246887405432222</v>
      </c>
    </row>
    <row r="28" spans="1:6" x14ac:dyDescent="0.15">
      <c r="A28" s="4">
        <v>57.467063361000001</v>
      </c>
      <c r="B28" s="4">
        <v>-2.4169953789999998</v>
      </c>
      <c r="C28" s="4">
        <v>56.6</v>
      </c>
      <c r="D28" s="4">
        <v>1.0029894671016499</v>
      </c>
      <c r="E28" s="4">
        <v>-4.2184527369038001E-2</v>
      </c>
      <c r="F28" s="4">
        <f t="shared" si="0"/>
        <v>9.4819619490777391</v>
      </c>
    </row>
    <row r="29" spans="1:6" x14ac:dyDescent="0.15">
      <c r="A29" s="4">
        <v>57.464577691999999</v>
      </c>
      <c r="B29" s="4">
        <v>-2.4151809329999998</v>
      </c>
      <c r="C29" s="4">
        <v>55.2</v>
      </c>
      <c r="D29" s="4">
        <v>1.0029460839934801</v>
      </c>
      <c r="E29" s="4">
        <v>-4.2152859312238999E-2</v>
      </c>
      <c r="F29" s="4">
        <f t="shared" si="0"/>
        <v>9.7788911944094643</v>
      </c>
    </row>
    <row r="30" spans="1:6" x14ac:dyDescent="0.15">
      <c r="A30" s="4">
        <v>57.462275032999997</v>
      </c>
      <c r="B30" s="4">
        <v>-2.4117780280000001</v>
      </c>
      <c r="C30" s="4">
        <v>54.8</v>
      </c>
      <c r="D30" s="4">
        <v>1.0029058950123799</v>
      </c>
      <c r="E30" s="4">
        <v>-4.2093467415855998E-2</v>
      </c>
      <c r="F30" s="4">
        <f t="shared" si="0"/>
        <v>10.105961413666913</v>
      </c>
    </row>
    <row r="31" spans="1:6" x14ac:dyDescent="0.15">
      <c r="A31" s="4">
        <v>57.459402322000003</v>
      </c>
      <c r="B31" s="4">
        <v>-2.4067942360000001</v>
      </c>
      <c r="C31" s="4">
        <v>52.6</v>
      </c>
      <c r="D31" s="4">
        <v>1.00285575674698</v>
      </c>
      <c r="E31" s="4">
        <v>-4.2006483836221999E-2</v>
      </c>
      <c r="F31" s="4">
        <f t="shared" si="0"/>
        <v>10.542865738156337</v>
      </c>
    </row>
    <row r="32" spans="1:6" x14ac:dyDescent="0.15">
      <c r="A32" s="4">
        <v>57.453653529</v>
      </c>
      <c r="B32" s="4">
        <v>-2.4000073400000002</v>
      </c>
      <c r="C32" s="4">
        <v>52.8</v>
      </c>
      <c r="D32" s="4">
        <v>1.0027554213811101</v>
      </c>
      <c r="E32" s="4">
        <v>-4.1888030155031002E-2</v>
      </c>
      <c r="F32" s="4">
        <f t="shared" si="0"/>
        <v>11.300118477782217</v>
      </c>
    </row>
    <row r="33" spans="1:7" x14ac:dyDescent="0.15">
      <c r="A33" s="4">
        <v>57.452299777999997</v>
      </c>
      <c r="B33" s="4">
        <v>-2.39899723</v>
      </c>
      <c r="C33" s="4">
        <v>51.1</v>
      </c>
      <c r="D33" s="4">
        <v>1.00273179396891</v>
      </c>
      <c r="E33" s="4">
        <v>-4.1870400409724E-2</v>
      </c>
      <c r="F33" s="4">
        <f t="shared" si="0"/>
        <v>11.462324349047668</v>
      </c>
    </row>
    <row r="34" spans="1:7" x14ac:dyDescent="0.15">
      <c r="A34" s="4">
        <v>57.450280888000002</v>
      </c>
      <c r="B34" s="4">
        <v>-2.3988368740000001</v>
      </c>
      <c r="C34" s="4">
        <v>53.6</v>
      </c>
      <c r="D34" s="4">
        <v>1.0026965576911699</v>
      </c>
      <c r="E34" s="4">
        <v>-4.1867601669547998E-2</v>
      </c>
      <c r="F34" s="4">
        <f t="shared" si="0"/>
        <v>11.687019557409752</v>
      </c>
    </row>
    <row r="35" spans="1:7" x14ac:dyDescent="0.15">
      <c r="A35" s="4">
        <v>57.442392902999998</v>
      </c>
      <c r="B35" s="4">
        <v>-2.4029997700000001</v>
      </c>
      <c r="C35" s="4">
        <v>69.099999999999994</v>
      </c>
      <c r="D35" s="4">
        <v>1.00255888638157</v>
      </c>
      <c r="E35" s="4">
        <v>-4.1940257911166998E-2</v>
      </c>
      <c r="F35" s="4">
        <f t="shared" si="0"/>
        <v>12.598804063271693</v>
      </c>
    </row>
    <row r="36" spans="1:7" x14ac:dyDescent="0.15">
      <c r="A36" s="4">
        <v>57.438126337999996</v>
      </c>
      <c r="B36" s="4">
        <v>-2.4042876400000002</v>
      </c>
      <c r="C36" s="4">
        <v>63.4</v>
      </c>
      <c r="D36" s="4">
        <v>1.00248442077457</v>
      </c>
      <c r="E36" s="4">
        <v>-4.1962735483003999E-2</v>
      </c>
      <c r="F36" s="4">
        <f t="shared" si="0"/>
        <v>13.079443671525079</v>
      </c>
    </row>
    <row r="37" spans="1:7" x14ac:dyDescent="0.15">
      <c r="A37" s="4">
        <v>57.437011396999999</v>
      </c>
      <c r="B37" s="4">
        <v>-2.4043417260000002</v>
      </c>
      <c r="C37" s="4">
        <v>61.3</v>
      </c>
      <c r="D37" s="4">
        <v>1.00246496138316</v>
      </c>
      <c r="E37" s="4">
        <v>-4.1963679461782998E-2</v>
      </c>
      <c r="F37" s="4">
        <f t="shared" si="0"/>
        <v>13.203461703126955</v>
      </c>
    </row>
    <row r="38" spans="1:7" x14ac:dyDescent="0.15">
      <c r="A38" s="4">
        <v>57.432234014000002</v>
      </c>
      <c r="B38" s="4">
        <v>-2.403427325</v>
      </c>
      <c r="C38" s="4">
        <v>57.2</v>
      </c>
      <c r="D38" s="4">
        <v>1.0023815803201801</v>
      </c>
      <c r="E38" s="4">
        <v>-4.1947720153650003E-2</v>
      </c>
      <c r="F38" s="4">
        <f t="shared" si="0"/>
        <v>13.737494209023463</v>
      </c>
    </row>
    <row r="39" spans="1:7" x14ac:dyDescent="0.15">
      <c r="A39" s="4">
        <v>57.430120160000001</v>
      </c>
      <c r="B39" s="4">
        <v>-2.4020019110000002</v>
      </c>
      <c r="C39" s="4">
        <v>65</v>
      </c>
      <c r="D39" s="4">
        <v>1.0023446866079699</v>
      </c>
      <c r="E39" s="4">
        <v>-4.1922841986146001E-2</v>
      </c>
      <c r="F39" s="4">
        <f t="shared" si="0"/>
        <v>13.987550695506553</v>
      </c>
    </row>
    <row r="40" spans="1:7" x14ac:dyDescent="0.15">
      <c r="A40" s="4">
        <v>57.426169362000003</v>
      </c>
      <c r="B40" s="4">
        <v>-2.3930907920000002</v>
      </c>
      <c r="C40" s="4">
        <v>52.6</v>
      </c>
      <c r="D40" s="4">
        <v>1.0022757321747899</v>
      </c>
      <c r="E40" s="4">
        <v>-4.1767313619559002E-2</v>
      </c>
      <c r="F40" s="4">
        <f t="shared" si="0"/>
        <v>14.678602697800457</v>
      </c>
    </row>
    <row r="41" spans="1:7" x14ac:dyDescent="0.15">
      <c r="A41" s="4">
        <v>57.423016044000001</v>
      </c>
      <c r="B41" s="4">
        <v>-2.3839098029999999</v>
      </c>
      <c r="C41" s="4">
        <v>52.7</v>
      </c>
      <c r="D41" s="4">
        <v>1.00222069639333</v>
      </c>
      <c r="E41" s="4">
        <v>-4.1607075132919003E-2</v>
      </c>
      <c r="F41" s="4">
        <f t="shared" si="0"/>
        <v>15.330568547494446</v>
      </c>
    </row>
    <row r="42" spans="1:7" x14ac:dyDescent="0.15">
      <c r="A42" s="4">
        <v>57.419990648000002</v>
      </c>
      <c r="B42" s="4">
        <v>-2.3733530140000001</v>
      </c>
      <c r="C42" s="4">
        <v>83.6</v>
      </c>
      <c r="D42" s="4">
        <v>1.00216789327195</v>
      </c>
      <c r="E42" s="4">
        <v>-4.1422824406430997E-2</v>
      </c>
      <c r="F42" s="4">
        <f t="shared" si="0"/>
        <v>16.046588507735539</v>
      </c>
    </row>
    <row r="43" spans="1:7" x14ac:dyDescent="0.15">
      <c r="A43" s="4">
        <v>57.414702423000001</v>
      </c>
      <c r="B43" s="4">
        <v>-2.3710236070000001</v>
      </c>
      <c r="C43" s="4">
        <v>106.8</v>
      </c>
      <c r="D43" s="4">
        <v>1.0020755963341199</v>
      </c>
      <c r="E43" s="4">
        <v>-4.1382168584662003E-2</v>
      </c>
      <c r="F43" s="4">
        <f t="shared" si="0"/>
        <v>16.650929597394043</v>
      </c>
    </row>
    <row r="44" spans="1:7" x14ac:dyDescent="0.15">
      <c r="A44" s="4">
        <v>57.412133046000001</v>
      </c>
      <c r="B44" s="4">
        <v>-2.366593103</v>
      </c>
      <c r="C44" s="4">
        <v>113.7</v>
      </c>
      <c r="D44" s="4">
        <v>1.0020307522457399</v>
      </c>
      <c r="E44" s="4">
        <v>-4.1304841702339001E-2</v>
      </c>
      <c r="F44" s="4">
        <f t="shared" si="0"/>
        <v>17.040832659160948</v>
      </c>
    </row>
    <row r="45" spans="1:7" x14ac:dyDescent="0.15">
      <c r="A45" s="4">
        <v>57.404541291000001</v>
      </c>
      <c r="B45" s="4">
        <v>-2.366442615</v>
      </c>
      <c r="C45" s="4">
        <v>133.5</v>
      </c>
      <c r="D45" s="4">
        <v>1.0018982511249901</v>
      </c>
      <c r="E45" s="4">
        <v>-4.1302215191255001E-2</v>
      </c>
      <c r="F45" s="4">
        <f t="shared" si="0"/>
        <v>17.885045418233272</v>
      </c>
    </row>
    <row r="46" spans="1:7" x14ac:dyDescent="0.15">
      <c r="A46" s="4">
        <v>57.400400888999997</v>
      </c>
      <c r="B46" s="4">
        <v>-2.3625834939999999</v>
      </c>
      <c r="C46" s="4">
        <v>136.4</v>
      </c>
      <c r="D46" s="4">
        <v>1.00182598747773</v>
      </c>
      <c r="E46" s="4">
        <v>-4.1234860823572E-2</v>
      </c>
      <c r="F46" s="4">
        <f t="shared" si="0"/>
        <v>18.400219349314998</v>
      </c>
    </row>
    <row r="47" spans="1:7" x14ac:dyDescent="0.15">
      <c r="A47" s="4">
        <v>57.393791806999999</v>
      </c>
      <c r="B47" s="4">
        <v>-2.3580622889999998</v>
      </c>
      <c r="C47" s="4">
        <v>131.69999999999999</v>
      </c>
      <c r="D47" s="4">
        <v>1.0017106372363</v>
      </c>
      <c r="E47" s="4">
        <v>-4.1155950910164003E-2</v>
      </c>
      <c r="F47" s="4">
        <f t="shared" si="0"/>
        <v>19.183449140316956</v>
      </c>
    </row>
    <row r="48" spans="1:7" x14ac:dyDescent="0.15">
      <c r="A48" s="4">
        <v>57.385229555000002</v>
      </c>
      <c r="B48" s="4">
        <v>-2.3495186659999998</v>
      </c>
      <c r="C48" s="15">
        <v>140.6</v>
      </c>
      <c r="D48" s="15">
        <v>1.0015611977475101</v>
      </c>
      <c r="E48" s="15">
        <v>-4.1006836558764997E-2</v>
      </c>
      <c r="F48" s="15">
        <f t="shared" si="0"/>
        <v>20.2644582934496</v>
      </c>
      <c r="G48" s="4"/>
    </row>
    <row r="49" spans="1:7" x14ac:dyDescent="0.15">
      <c r="A49" s="4">
        <v>57.375615955000001</v>
      </c>
      <c r="B49" s="4">
        <v>-2.3385433610000002</v>
      </c>
      <c r="C49" s="15">
        <v>172.2</v>
      </c>
      <c r="D49" s="15">
        <v>1.00139340877454</v>
      </c>
      <c r="E49" s="15">
        <v>-4.0815281350104003E-2</v>
      </c>
      <c r="F49" s="15">
        <f t="shared" si="0"/>
        <v>21.519652986523337</v>
      </c>
      <c r="G49" s="4"/>
    </row>
    <row r="50" spans="1:7" x14ac:dyDescent="0.15">
      <c r="A50" s="4">
        <v>57.371573202999997</v>
      </c>
      <c r="B50" s="4">
        <v>-2.3348292810000002</v>
      </c>
      <c r="C50" s="4">
        <v>173</v>
      </c>
      <c r="D50" s="4">
        <v>1.0013228494413</v>
      </c>
      <c r="E50" s="4">
        <v>-4.0750458425422E-2</v>
      </c>
      <c r="F50" s="4">
        <f t="shared" si="0"/>
        <v>22.0213105738144</v>
      </c>
    </row>
    <row r="51" spans="1:7" x14ac:dyDescent="0.15">
      <c r="A51" s="4">
        <v>57.358574695999998</v>
      </c>
      <c r="B51" s="4">
        <v>-2.3308233380000001</v>
      </c>
      <c r="C51" s="4">
        <v>150</v>
      </c>
      <c r="D51" s="4">
        <v>1.0010959826963099</v>
      </c>
      <c r="E51" s="4">
        <v>-4.0680541530425003E-2</v>
      </c>
      <c r="F51" s="4">
        <f t="shared" si="0"/>
        <v>23.486504738697885</v>
      </c>
    </row>
    <row r="52" spans="1:7" x14ac:dyDescent="0.15">
      <c r="A52" s="4">
        <v>57.352982220999998</v>
      </c>
      <c r="B52" s="4">
        <v>-2.329198146</v>
      </c>
      <c r="C52" s="4">
        <v>156.6</v>
      </c>
      <c r="D52" s="4">
        <v>1.00099837559422</v>
      </c>
      <c r="E52" s="4">
        <v>-4.0652176579048002E-2</v>
      </c>
      <c r="F52" s="4">
        <f t="shared" si="0"/>
        <v>24.115953610699826</v>
      </c>
    </row>
    <row r="53" spans="1:7" x14ac:dyDescent="0.15">
      <c r="A53" s="4">
        <v>57.343425774000004</v>
      </c>
      <c r="B53" s="4">
        <v>-2.331972554</v>
      </c>
      <c r="C53" s="4">
        <v>120.7</v>
      </c>
      <c r="D53" s="4">
        <v>1.0008315841292801</v>
      </c>
      <c r="E53" s="4">
        <v>-4.0700599133440998E-2</v>
      </c>
      <c r="F53" s="4">
        <f t="shared" si="0"/>
        <v>25.191538727076427</v>
      </c>
    </row>
    <row r="54" spans="1:7" x14ac:dyDescent="0.15">
      <c r="A54" s="4">
        <v>57.335924749</v>
      </c>
      <c r="B54" s="4">
        <v>-2.3352833620000002</v>
      </c>
      <c r="C54" s="4">
        <v>87</v>
      </c>
      <c r="D54" s="4">
        <v>1.0007006665457501</v>
      </c>
      <c r="E54" s="4">
        <v>-4.0758383633942998E-2</v>
      </c>
      <c r="F54" s="4">
        <f t="shared" si="0"/>
        <v>26.048949540198983</v>
      </c>
    </row>
    <row r="55" spans="1:7" x14ac:dyDescent="0.15">
      <c r="A55" s="4">
        <v>57.32684974</v>
      </c>
      <c r="B55" s="4">
        <v>-2.3388428970000001</v>
      </c>
      <c r="C55" s="4">
        <v>93.3</v>
      </c>
      <c r="D55" s="4">
        <v>1.00054227775906</v>
      </c>
      <c r="E55" s="4">
        <v>-4.0820509239533002E-2</v>
      </c>
      <c r="F55" s="4">
        <f t="shared" si="0"/>
        <v>27.080413150519657</v>
      </c>
    </row>
    <row r="56" spans="1:7" x14ac:dyDescent="0.15">
      <c r="A56" s="4">
        <v>57.319715215000002</v>
      </c>
      <c r="B56" s="4">
        <v>-2.345867895</v>
      </c>
      <c r="C56" s="4">
        <v>91.9</v>
      </c>
      <c r="D56" s="4">
        <v>1.0004177568072401</v>
      </c>
      <c r="E56" s="4">
        <v>-4.0943118584578997E-2</v>
      </c>
      <c r="F56" s="4">
        <f t="shared" si="0"/>
        <v>27.978869961510647</v>
      </c>
    </row>
    <row r="57" spans="1:7" x14ac:dyDescent="0.15">
      <c r="A57" s="4">
        <v>57.311564326000003</v>
      </c>
      <c r="B57" s="4">
        <v>-2.3500973080000001</v>
      </c>
      <c r="C57" s="4">
        <v>100.3</v>
      </c>
      <c r="D57" s="4">
        <v>1.0002754969572301</v>
      </c>
      <c r="E57" s="4">
        <v>-4.1016935766855001E-2</v>
      </c>
      <c r="F57" s="4">
        <f t="shared" si="0"/>
        <v>28.920115920998089</v>
      </c>
    </row>
    <row r="58" spans="1:7" x14ac:dyDescent="0.15">
      <c r="A58" s="4">
        <v>57.307267678000002</v>
      </c>
      <c r="B58" s="4">
        <v>-2.348695137</v>
      </c>
      <c r="C58" s="4">
        <v>125.8</v>
      </c>
      <c r="D58" s="4">
        <v>1.0002005063028301</v>
      </c>
      <c r="E58" s="4">
        <v>-4.0992463266228997E-2</v>
      </c>
      <c r="F58" s="4">
        <f t="shared" si="0"/>
        <v>29.405245899027683</v>
      </c>
    </row>
    <row r="59" spans="1:7" x14ac:dyDescent="0.15">
      <c r="A59" s="4">
        <v>57.301029532000001</v>
      </c>
      <c r="B59" s="4">
        <v>-2.3468194160000002</v>
      </c>
      <c r="C59" s="4">
        <v>142</v>
      </c>
      <c r="D59" s="4">
        <v>1.00009163011591</v>
      </c>
      <c r="E59" s="4">
        <v>-4.0959725758930997E-2</v>
      </c>
      <c r="F59" s="4">
        <f t="shared" si="0"/>
        <v>30.107986329420115</v>
      </c>
    </row>
    <row r="60" spans="1:7" x14ac:dyDescent="0.15">
      <c r="A60" s="4">
        <v>57.290019497000003</v>
      </c>
      <c r="B60" s="4">
        <v>-2.3510130419999999</v>
      </c>
      <c r="C60" s="4">
        <v>106.1</v>
      </c>
      <c r="D60" s="4">
        <v>0.99989946875439595</v>
      </c>
      <c r="E60" s="4">
        <v>-4.1032918340228E-2</v>
      </c>
      <c r="F60" s="4">
        <f t="shared" si="0"/>
        <v>31.357902915589463</v>
      </c>
    </row>
    <row r="61" spans="1:7" x14ac:dyDescent="0.15">
      <c r="A61" s="4">
        <v>57.280169755000003</v>
      </c>
      <c r="B61" s="4">
        <v>-2.3490159340000001</v>
      </c>
      <c r="C61" s="4">
        <v>68.2</v>
      </c>
      <c r="D61" s="4">
        <v>0.999727558326024</v>
      </c>
      <c r="E61" s="4">
        <v>-4.0998062230110002E-2</v>
      </c>
      <c r="F61" s="4">
        <f t="shared" si="0"/>
        <v>32.459700589651405</v>
      </c>
    </row>
    <row r="62" spans="1:7" x14ac:dyDescent="0.15">
      <c r="A62" s="4">
        <v>57.269488621999997</v>
      </c>
      <c r="B62" s="4">
        <v>-2.344810737</v>
      </c>
      <c r="C62" s="4">
        <v>94.3</v>
      </c>
      <c r="D62" s="4">
        <v>0.99954113738732997</v>
      </c>
      <c r="E62" s="4">
        <v>-4.0924667696764998E-2</v>
      </c>
      <c r="F62" s="4">
        <f t="shared" si="0"/>
        <v>33.673992053862513</v>
      </c>
    </row>
    <row r="63" spans="1:7" x14ac:dyDescent="0.15">
      <c r="A63" s="4">
        <v>57.260659740999998</v>
      </c>
      <c r="B63" s="4">
        <v>-2.340603792</v>
      </c>
      <c r="C63" s="4">
        <v>100.5</v>
      </c>
      <c r="D63" s="4">
        <v>0.99938704434461301</v>
      </c>
      <c r="E63" s="4">
        <v>-4.0851242655064998E-2</v>
      </c>
      <c r="F63" s="4">
        <f t="shared" si="0"/>
        <v>34.687784901384752</v>
      </c>
    </row>
    <row r="64" spans="1:7" x14ac:dyDescent="0.15">
      <c r="A64" s="4">
        <v>57.252983979</v>
      </c>
      <c r="B64" s="4">
        <v>-2.337657739</v>
      </c>
      <c r="C64" s="4">
        <v>68.900000000000006</v>
      </c>
      <c r="D64" s="4">
        <v>0.99925307702511401</v>
      </c>
      <c r="E64" s="4">
        <v>-4.0799824330275999E-2</v>
      </c>
      <c r="F64" s="4">
        <f t="shared" si="0"/>
        <v>35.559487792847875</v>
      </c>
    </row>
    <row r="65" spans="1:6" x14ac:dyDescent="0.15">
      <c r="A65" s="4">
        <v>57.243625997000002</v>
      </c>
      <c r="B65" s="4">
        <v>-2.3316001829999999</v>
      </c>
      <c r="C65" s="4">
        <v>65.3</v>
      </c>
      <c r="D65" s="4">
        <v>0.99908974942787199</v>
      </c>
      <c r="E65" s="4">
        <v>-4.0694100033452002E-2</v>
      </c>
      <c r="F65" s="4">
        <f t="shared" si="0"/>
        <v>36.662009088027276</v>
      </c>
    </row>
    <row r="66" spans="1:6" x14ac:dyDescent="0.15">
      <c r="A66" s="4">
        <v>57.233340804999997</v>
      </c>
      <c r="B66" s="4">
        <v>-2.3321508729999998</v>
      </c>
      <c r="C66" s="4">
        <v>47</v>
      </c>
      <c r="D66" s="4">
        <v>0.99891023896327202</v>
      </c>
      <c r="E66" s="4">
        <v>-4.070371138711E-2</v>
      </c>
      <c r="F66" s="4">
        <f t="shared" si="0"/>
        <v>37.806150202182593</v>
      </c>
    </row>
    <row r="67" spans="1:6" x14ac:dyDescent="0.15">
      <c r="A67" s="4">
        <v>57.221326068000003</v>
      </c>
      <c r="B67" s="4">
        <v>-2.3316005610000001</v>
      </c>
      <c r="C67" s="4">
        <v>65.400000000000006</v>
      </c>
      <c r="D67" s="4">
        <v>0.99870054224386096</v>
      </c>
      <c r="E67" s="4">
        <v>-4.0694106630796999E-2</v>
      </c>
      <c r="F67" s="4">
        <f t="shared" si="0"/>
        <v>39.142538564221852</v>
      </c>
    </row>
    <row r="68" spans="1:6" x14ac:dyDescent="0.15">
      <c r="A68" s="4">
        <v>57.213752171000003</v>
      </c>
      <c r="B68" s="4">
        <v>-2.336593309</v>
      </c>
      <c r="C68" s="4">
        <v>87.3</v>
      </c>
      <c r="D68" s="4">
        <v>0.99856835280400402</v>
      </c>
      <c r="E68" s="4">
        <v>-4.0781246522119001E-2</v>
      </c>
      <c r="F68" s="4">
        <f t="shared" ref="F68:F80" si="1">2*ASIN(SQRT((SIN((D68-D67)/2))^2+COS(D67)*COS(D68)*(SIN((E68-E67)/2))^2))*6371+F67</f>
        <v>40.036755254924373</v>
      </c>
    </row>
    <row r="69" spans="1:6" x14ac:dyDescent="0.15">
      <c r="A69" s="4">
        <v>57.212778516999997</v>
      </c>
      <c r="B69" s="4">
        <v>-2.3371186829999999</v>
      </c>
      <c r="C69" s="4">
        <v>81</v>
      </c>
      <c r="D69" s="4">
        <v>0.99855135933592798</v>
      </c>
      <c r="E69" s="4">
        <v>-4.0790416028224002E-2</v>
      </c>
      <c r="F69" s="4">
        <f t="shared" si="1"/>
        <v>40.149547737385859</v>
      </c>
    </row>
    <row r="70" spans="1:6" x14ac:dyDescent="0.15">
      <c r="A70" s="4">
        <v>57.206616621000002</v>
      </c>
      <c r="B70" s="4">
        <v>-2.3345825769999999</v>
      </c>
      <c r="C70" s="4">
        <v>82.7</v>
      </c>
      <c r="D70" s="4">
        <v>0.99844381396256299</v>
      </c>
      <c r="E70" s="4">
        <v>-4.0746152628344003E-2</v>
      </c>
      <c r="F70" s="4">
        <f t="shared" si="1"/>
        <v>40.851533720870506</v>
      </c>
    </row>
    <row r="71" spans="1:6" x14ac:dyDescent="0.15">
      <c r="A71" s="4">
        <v>57.199962907</v>
      </c>
      <c r="B71" s="4">
        <v>-2.3323346210000002</v>
      </c>
      <c r="C71" s="4">
        <v>94.1</v>
      </c>
      <c r="D71" s="4">
        <v>0.99832768474577704</v>
      </c>
      <c r="E71" s="4">
        <v>-4.0706918394704E-2</v>
      </c>
      <c r="F71" s="4">
        <f t="shared" si="1"/>
        <v>41.603679476197343</v>
      </c>
    </row>
    <row r="72" spans="1:6" x14ac:dyDescent="0.15">
      <c r="A72" s="4">
        <v>57.19623678</v>
      </c>
      <c r="B72" s="4">
        <v>-2.3311158930000002</v>
      </c>
      <c r="C72" s="4">
        <v>104.6</v>
      </c>
      <c r="D72" s="4">
        <v>0.99826265156128002</v>
      </c>
      <c r="E72" s="4">
        <v>-4.0685647578417999E-2</v>
      </c>
      <c r="F72" s="4">
        <f t="shared" si="1"/>
        <v>42.024459718465543</v>
      </c>
    </row>
    <row r="73" spans="1:6" x14ac:dyDescent="0.15">
      <c r="A73" s="4">
        <v>57.189127040000002</v>
      </c>
      <c r="B73" s="4">
        <v>-2.329299733</v>
      </c>
      <c r="C73" s="4">
        <v>140.6</v>
      </c>
      <c r="D73" s="4">
        <v>0.99813856318931904</v>
      </c>
      <c r="E73" s="4">
        <v>-4.0653949606674997E-2</v>
      </c>
      <c r="F73" s="4">
        <f t="shared" si="1"/>
        <v>42.82256284877684</v>
      </c>
    </row>
    <row r="74" spans="1:6" x14ac:dyDescent="0.15">
      <c r="A74" s="4">
        <v>57.184305645000002</v>
      </c>
      <c r="B74" s="4">
        <v>-2.3244233109999999</v>
      </c>
      <c r="C74" s="15">
        <v>140.5</v>
      </c>
      <c r="D74" s="15">
        <v>0.99805441397202999</v>
      </c>
      <c r="E74" s="15">
        <v>-4.0568839987058E-2</v>
      </c>
      <c r="F74" s="15">
        <f t="shared" si="1"/>
        <v>43.433921717805063</v>
      </c>
    </row>
    <row r="75" spans="1:6" x14ac:dyDescent="0.15">
      <c r="A75" s="4">
        <v>57.179423036000003</v>
      </c>
      <c r="B75" s="4">
        <v>-2.319740753</v>
      </c>
      <c r="C75" s="15">
        <v>186.2</v>
      </c>
      <c r="D75" s="15">
        <v>0.99796919636889203</v>
      </c>
      <c r="E75" s="15">
        <v>-4.0487113932542999E-2</v>
      </c>
      <c r="F75" s="15">
        <f t="shared" si="1"/>
        <v>44.045801348626917</v>
      </c>
    </row>
    <row r="76" spans="1:6" x14ac:dyDescent="0.15">
      <c r="A76" s="4">
        <v>57.176053136999997</v>
      </c>
      <c r="B76" s="4">
        <v>-2.3178592689999999</v>
      </c>
      <c r="C76" s="4">
        <v>187.7</v>
      </c>
      <c r="D76" s="4">
        <v>0.99791038053588299</v>
      </c>
      <c r="E76" s="4">
        <v>-4.0454275841918998E-2</v>
      </c>
      <c r="F76" s="4">
        <f t="shared" si="1"/>
        <v>44.437300225574731</v>
      </c>
    </row>
    <row r="77" spans="1:6" x14ac:dyDescent="0.15">
      <c r="A77" s="4">
        <v>57.171716408000002</v>
      </c>
      <c r="B77" s="4">
        <v>-2.3165218169999999</v>
      </c>
      <c r="C77" s="4">
        <v>176.8</v>
      </c>
      <c r="D77" s="4">
        <v>0.99783469033606598</v>
      </c>
      <c r="E77" s="4">
        <v>-4.0430932900931998E-2</v>
      </c>
      <c r="F77" s="4">
        <f t="shared" si="1"/>
        <v>44.926215023890421</v>
      </c>
    </row>
    <row r="78" spans="1:6" x14ac:dyDescent="0.15">
      <c r="A78" s="4">
        <v>57.166712187000002</v>
      </c>
      <c r="B78" s="4">
        <v>-2.312601592</v>
      </c>
      <c r="C78" s="4">
        <v>162.6</v>
      </c>
      <c r="D78" s="4">
        <v>0.997747350203118</v>
      </c>
      <c r="E78" s="4">
        <v>-4.0362512067262997E-2</v>
      </c>
      <c r="F78" s="4">
        <f t="shared" si="1"/>
        <v>45.530766851900147</v>
      </c>
    </row>
    <row r="79" spans="1:6" x14ac:dyDescent="0.15">
      <c r="A79" s="4">
        <v>57.164859462999999</v>
      </c>
      <c r="B79" s="4">
        <v>-2.3048843419999998</v>
      </c>
      <c r="C79" s="4">
        <v>209</v>
      </c>
      <c r="D79" s="4">
        <v>0.99771501406918806</v>
      </c>
      <c r="E79" s="4">
        <v>-4.0227820645563003E-2</v>
      </c>
      <c r="F79" s="4">
        <f t="shared" si="1"/>
        <v>46.039616307597839</v>
      </c>
    </row>
    <row r="80" spans="1:6" x14ac:dyDescent="0.15">
      <c r="A80" s="4">
        <v>57.163478075</v>
      </c>
      <c r="B80" s="4">
        <v>-2.3017184589999999</v>
      </c>
      <c r="C80" s="4">
        <v>193.1</v>
      </c>
      <c r="D80" s="4">
        <v>0.99769090430034002</v>
      </c>
      <c r="E80" s="4">
        <v>-4.0172565563479999E-2</v>
      </c>
      <c r="F80" s="4">
        <f t="shared" si="1"/>
        <v>46.284626840856035</v>
      </c>
    </row>
    <row r="84" spans="1:8" ht="25" x14ac:dyDescent="0.25">
      <c r="A84" s="5" t="s">
        <v>57</v>
      </c>
      <c r="B84" s="3"/>
      <c r="C84" s="3"/>
      <c r="F84" s="5" t="s">
        <v>58</v>
      </c>
      <c r="G84" s="3"/>
      <c r="H84" s="3"/>
    </row>
    <row r="85" spans="1:8" x14ac:dyDescent="0.15">
      <c r="C85" t="s">
        <v>59</v>
      </c>
      <c r="H85" t="s">
        <v>59</v>
      </c>
    </row>
    <row r="86" spans="1:8" x14ac:dyDescent="0.15">
      <c r="A86" t="s">
        <v>60</v>
      </c>
      <c r="B86" t="s">
        <v>61</v>
      </c>
      <c r="C86" s="8" t="s">
        <v>62</v>
      </c>
      <c r="F86" t="s">
        <v>26</v>
      </c>
      <c r="G86" t="s">
        <v>61</v>
      </c>
      <c r="H86" s="8" t="s">
        <v>63</v>
      </c>
    </row>
    <row r="87" spans="1:8" x14ac:dyDescent="0.15">
      <c r="A87">
        <v>1.7099999999999999E-3</v>
      </c>
      <c r="B87">
        <f t="shared" ref="B87:B118" si="2">C2+10*10</f>
        <v>198.4</v>
      </c>
      <c r="C87">
        <f>50+$C$2</f>
        <v>148.4</v>
      </c>
      <c r="F87">
        <v>1.6299999999999999E-3</v>
      </c>
      <c r="G87">
        <f t="shared" ref="G87:G118" si="3">C2+10*16</f>
        <v>258.39999999999998</v>
      </c>
      <c r="H87">
        <f>100+$C$2</f>
        <v>198.4</v>
      </c>
    </row>
    <row r="88" spans="1:8" x14ac:dyDescent="0.15">
      <c r="B88">
        <f t="shared" si="2"/>
        <v>201</v>
      </c>
      <c r="C88">
        <f>-$A$87*F3*1000+$C$87</f>
        <v>147.94256737489334</v>
      </c>
      <c r="G88">
        <f t="shared" si="3"/>
        <v>261</v>
      </c>
      <c r="H88">
        <f>-$F$87*F3*1000+$H$87</f>
        <v>197.96396773162348</v>
      </c>
    </row>
    <row r="89" spans="1:8" x14ac:dyDescent="0.15">
      <c r="B89">
        <f t="shared" si="2"/>
        <v>203.5</v>
      </c>
      <c r="C89">
        <f t="shared" ref="C89:C127" si="4">-$A$87*F4*1000+$C$87</f>
        <v>147.63361394127435</v>
      </c>
      <c r="G89">
        <f t="shared" si="3"/>
        <v>263.5</v>
      </c>
      <c r="H89">
        <f t="shared" ref="H89:H133" si="5">-$F$87*F4*1000+$H$87</f>
        <v>197.66946825981123</v>
      </c>
    </row>
    <row r="90" spans="1:8" x14ac:dyDescent="0.15">
      <c r="B90">
        <f t="shared" si="2"/>
        <v>205.9</v>
      </c>
      <c r="C90">
        <f t="shared" si="4"/>
        <v>147.2406318157185</v>
      </c>
      <c r="G90">
        <f t="shared" si="3"/>
        <v>265.89999999999998</v>
      </c>
      <c r="H90">
        <f t="shared" si="5"/>
        <v>197.29487126293637</v>
      </c>
    </row>
    <row r="91" spans="1:8" x14ac:dyDescent="0.15">
      <c r="B91">
        <f t="shared" si="2"/>
        <v>188.3</v>
      </c>
      <c r="C91">
        <f t="shared" si="4"/>
        <v>146.43500173858794</v>
      </c>
      <c r="G91">
        <f t="shared" si="3"/>
        <v>248.3</v>
      </c>
      <c r="H91">
        <f t="shared" si="5"/>
        <v>196.52693148181189</v>
      </c>
    </row>
    <row r="92" spans="1:8" x14ac:dyDescent="0.15">
      <c r="B92">
        <f t="shared" si="2"/>
        <v>166.3</v>
      </c>
      <c r="C92">
        <f t="shared" si="4"/>
        <v>145.91085745878064</v>
      </c>
      <c r="G92">
        <f t="shared" si="3"/>
        <v>226.3</v>
      </c>
      <c r="H92">
        <f t="shared" si="5"/>
        <v>196.02730857182016</v>
      </c>
    </row>
    <row r="93" spans="1:8" x14ac:dyDescent="0.15">
      <c r="B93">
        <f t="shared" si="2"/>
        <v>152</v>
      </c>
      <c r="C93">
        <f t="shared" si="4"/>
        <v>144.92458591988657</v>
      </c>
      <c r="G93">
        <f t="shared" si="3"/>
        <v>212</v>
      </c>
      <c r="H93">
        <f t="shared" si="5"/>
        <v>195.08717839147081</v>
      </c>
    </row>
    <row r="94" spans="1:8" x14ac:dyDescent="0.15">
      <c r="B94">
        <f t="shared" si="2"/>
        <v>150.1</v>
      </c>
      <c r="C94">
        <f t="shared" si="4"/>
        <v>144.12827533384592</v>
      </c>
      <c r="G94">
        <f t="shared" si="3"/>
        <v>210.1</v>
      </c>
      <c r="H94">
        <f t="shared" si="5"/>
        <v>194.32812210185313</v>
      </c>
    </row>
    <row r="95" spans="1:8" x14ac:dyDescent="0.15">
      <c r="B95">
        <f t="shared" si="2"/>
        <v>146</v>
      </c>
      <c r="C95">
        <f t="shared" si="4"/>
        <v>143.2331428092281</v>
      </c>
      <c r="G95">
        <f t="shared" si="3"/>
        <v>206</v>
      </c>
      <c r="H95">
        <f t="shared" si="5"/>
        <v>193.47486712224665</v>
      </c>
    </row>
    <row r="96" spans="1:8" x14ac:dyDescent="0.15">
      <c r="B96">
        <f t="shared" si="2"/>
        <v>149</v>
      </c>
      <c r="C96">
        <f t="shared" si="4"/>
        <v>141.9473952062373</v>
      </c>
      <c r="G96">
        <f t="shared" si="3"/>
        <v>209</v>
      </c>
      <c r="H96">
        <f t="shared" si="5"/>
        <v>192.24927145389873</v>
      </c>
    </row>
    <row r="97" spans="2:8" x14ac:dyDescent="0.15">
      <c r="B97">
        <f t="shared" si="2"/>
        <v>158.9</v>
      </c>
      <c r="C97">
        <f t="shared" si="4"/>
        <v>140.96129239638864</v>
      </c>
      <c r="G97">
        <f t="shared" si="3"/>
        <v>218.9</v>
      </c>
      <c r="H97">
        <f t="shared" si="5"/>
        <v>191.3093021088383</v>
      </c>
    </row>
    <row r="98" spans="2:8" x14ac:dyDescent="0.15">
      <c r="B98">
        <f t="shared" si="2"/>
        <v>164</v>
      </c>
      <c r="C98">
        <f t="shared" si="4"/>
        <v>139.80337727194853</v>
      </c>
      <c r="G98">
        <f t="shared" si="3"/>
        <v>224</v>
      </c>
      <c r="H98">
        <f t="shared" si="5"/>
        <v>190.20555845220827</v>
      </c>
    </row>
    <row r="99" spans="2:8" x14ac:dyDescent="0.15">
      <c r="B99">
        <f t="shared" si="2"/>
        <v>160.5</v>
      </c>
      <c r="C99">
        <f t="shared" si="4"/>
        <v>139.40431052746399</v>
      </c>
      <c r="G99">
        <f t="shared" si="3"/>
        <v>220.5</v>
      </c>
      <c r="H99">
        <f t="shared" si="5"/>
        <v>189.82516149693936</v>
      </c>
    </row>
    <row r="100" spans="2:8" x14ac:dyDescent="0.15">
      <c r="B100">
        <f t="shared" si="2"/>
        <v>158</v>
      </c>
      <c r="C100">
        <f t="shared" si="4"/>
        <v>139.11368528554874</v>
      </c>
      <c r="G100">
        <f t="shared" si="3"/>
        <v>218</v>
      </c>
      <c r="H100">
        <f t="shared" si="5"/>
        <v>189.54813275756985</v>
      </c>
    </row>
    <row r="101" spans="2:8" x14ac:dyDescent="0.15">
      <c r="B101">
        <f t="shared" si="2"/>
        <v>156</v>
      </c>
      <c r="C101">
        <f t="shared" si="4"/>
        <v>138.56147542597134</v>
      </c>
      <c r="G101">
        <f t="shared" si="3"/>
        <v>216</v>
      </c>
      <c r="H101">
        <f t="shared" si="5"/>
        <v>189.02175727738791</v>
      </c>
    </row>
    <row r="102" spans="2:8" x14ac:dyDescent="0.15">
      <c r="B102">
        <f t="shared" si="2"/>
        <v>156.1</v>
      </c>
      <c r="C102">
        <f t="shared" si="4"/>
        <v>138.22704595314588</v>
      </c>
      <c r="G102">
        <f t="shared" si="3"/>
        <v>216.1</v>
      </c>
      <c r="H102">
        <f t="shared" si="5"/>
        <v>188.70297362785249</v>
      </c>
    </row>
    <row r="103" spans="2:8" x14ac:dyDescent="0.15">
      <c r="B103">
        <f t="shared" si="2"/>
        <v>158.80000000000001</v>
      </c>
      <c r="C103">
        <f t="shared" si="4"/>
        <v>137.38168554670654</v>
      </c>
      <c r="G103">
        <f t="shared" si="3"/>
        <v>218.8</v>
      </c>
      <c r="H103">
        <f t="shared" si="5"/>
        <v>187.89716224627583</v>
      </c>
    </row>
    <row r="104" spans="2:8" x14ac:dyDescent="0.15">
      <c r="B104">
        <f t="shared" si="2"/>
        <v>154</v>
      </c>
      <c r="C104">
        <f t="shared" si="4"/>
        <v>137.15834840094254</v>
      </c>
      <c r="G104">
        <f t="shared" si="3"/>
        <v>214</v>
      </c>
      <c r="H104">
        <f t="shared" si="5"/>
        <v>187.68427362195109</v>
      </c>
    </row>
    <row r="105" spans="2:8" x14ac:dyDescent="0.15">
      <c r="B105">
        <f t="shared" si="2"/>
        <v>153</v>
      </c>
      <c r="C105">
        <f t="shared" si="4"/>
        <v>136.3153437283853</v>
      </c>
      <c r="G105">
        <f t="shared" si="3"/>
        <v>213</v>
      </c>
      <c r="H105">
        <f t="shared" si="5"/>
        <v>186.88070776448421</v>
      </c>
    </row>
    <row r="106" spans="2:8" x14ac:dyDescent="0.15">
      <c r="B106">
        <f t="shared" si="2"/>
        <v>155.19999999999999</v>
      </c>
      <c r="C106">
        <f t="shared" si="4"/>
        <v>135.46311455094968</v>
      </c>
      <c r="G106">
        <f t="shared" si="3"/>
        <v>215.2</v>
      </c>
      <c r="H106">
        <f t="shared" si="5"/>
        <v>186.06834895792281</v>
      </c>
    </row>
    <row r="107" spans="2:8" x14ac:dyDescent="0.15">
      <c r="B107">
        <f t="shared" si="2"/>
        <v>159</v>
      </c>
      <c r="C107">
        <f t="shared" si="4"/>
        <v>135.20731821122163</v>
      </c>
      <c r="G107">
        <f t="shared" si="3"/>
        <v>219</v>
      </c>
      <c r="H107">
        <f t="shared" si="5"/>
        <v>185.82451969841594</v>
      </c>
    </row>
    <row r="108" spans="2:8" x14ac:dyDescent="0.15">
      <c r="B108">
        <f t="shared" si="2"/>
        <v>161</v>
      </c>
      <c r="C108">
        <f t="shared" si="4"/>
        <v>134.88792102968623</v>
      </c>
      <c r="G108">
        <f t="shared" si="3"/>
        <v>221</v>
      </c>
      <c r="H108">
        <f t="shared" si="5"/>
        <v>185.52006507508102</v>
      </c>
    </row>
    <row r="109" spans="2:8" x14ac:dyDescent="0.15">
      <c r="B109">
        <f t="shared" si="2"/>
        <v>157.19999999999999</v>
      </c>
      <c r="C109">
        <f t="shared" si="4"/>
        <v>134.37700469317429</v>
      </c>
      <c r="G109">
        <f t="shared" si="3"/>
        <v>217.2</v>
      </c>
      <c r="H109">
        <f t="shared" si="5"/>
        <v>185.03305125723631</v>
      </c>
    </row>
    <row r="110" spans="2:8" x14ac:dyDescent="0.15">
      <c r="B110">
        <f t="shared" si="2"/>
        <v>157.30000000000001</v>
      </c>
      <c r="C110">
        <f t="shared" si="4"/>
        <v>133.78503157389085</v>
      </c>
      <c r="G110">
        <f t="shared" si="3"/>
        <v>217.3</v>
      </c>
      <c r="H110">
        <f t="shared" si="5"/>
        <v>184.46877278680822</v>
      </c>
    </row>
    <row r="111" spans="2:8" x14ac:dyDescent="0.15">
      <c r="B111">
        <f t="shared" si="2"/>
        <v>156.19999999999999</v>
      </c>
      <c r="C111">
        <f t="shared" si="4"/>
        <v>133.21443809826687</v>
      </c>
      <c r="G111">
        <f t="shared" si="3"/>
        <v>216.2</v>
      </c>
      <c r="H111">
        <f t="shared" si="5"/>
        <v>183.92487374279241</v>
      </c>
    </row>
    <row r="112" spans="2:8" x14ac:dyDescent="0.15">
      <c r="B112">
        <f t="shared" si="2"/>
        <v>158</v>
      </c>
      <c r="C112">
        <f t="shared" si="4"/>
        <v>132.7967822536711</v>
      </c>
      <c r="G112">
        <f t="shared" si="3"/>
        <v>218</v>
      </c>
      <c r="H112">
        <f t="shared" si="5"/>
        <v>183.52675735291456</v>
      </c>
    </row>
    <row r="113" spans="2:8" x14ac:dyDescent="0.15">
      <c r="B113">
        <f t="shared" si="2"/>
        <v>156.6</v>
      </c>
      <c r="C113">
        <f t="shared" si="4"/>
        <v>132.18584506707708</v>
      </c>
      <c r="G113">
        <f t="shared" si="3"/>
        <v>216.6</v>
      </c>
      <c r="H113">
        <f t="shared" si="5"/>
        <v>182.94440202300331</v>
      </c>
    </row>
    <row r="114" spans="2:8" x14ac:dyDescent="0.15">
      <c r="B114">
        <f t="shared" si="2"/>
        <v>155.19999999999999</v>
      </c>
      <c r="C114">
        <f t="shared" si="4"/>
        <v>131.67809605755983</v>
      </c>
      <c r="G114">
        <f t="shared" si="3"/>
        <v>215.2</v>
      </c>
      <c r="H114">
        <f t="shared" si="5"/>
        <v>182.46040735311257</v>
      </c>
    </row>
    <row r="115" spans="2:8" x14ac:dyDescent="0.15">
      <c r="B115">
        <f t="shared" si="2"/>
        <v>154.80000000000001</v>
      </c>
      <c r="C115">
        <f t="shared" si="4"/>
        <v>131.1188059826296</v>
      </c>
      <c r="G115">
        <f t="shared" si="3"/>
        <v>214.8</v>
      </c>
      <c r="H115">
        <f t="shared" si="5"/>
        <v>181.92728289572295</v>
      </c>
    </row>
    <row r="116" spans="2:8" x14ac:dyDescent="0.15">
      <c r="B116">
        <f t="shared" si="2"/>
        <v>152.6</v>
      </c>
      <c r="C116">
        <f t="shared" si="4"/>
        <v>130.37169958775269</v>
      </c>
      <c r="G116">
        <f t="shared" si="3"/>
        <v>212.6</v>
      </c>
      <c r="H116">
        <f t="shared" si="5"/>
        <v>181.21512884680519</v>
      </c>
    </row>
    <row r="117" spans="2:8" x14ac:dyDescent="0.15">
      <c r="B117">
        <f t="shared" si="2"/>
        <v>152.80000000000001</v>
      </c>
      <c r="C117">
        <f t="shared" si="4"/>
        <v>129.07679740299241</v>
      </c>
      <c r="G117">
        <f t="shared" si="3"/>
        <v>212.8</v>
      </c>
      <c r="H117">
        <f t="shared" si="5"/>
        <v>179.98080688121499</v>
      </c>
    </row>
    <row r="118" spans="2:8" x14ac:dyDescent="0.15">
      <c r="B118">
        <f t="shared" si="2"/>
        <v>151.1</v>
      </c>
      <c r="C118">
        <f t="shared" si="4"/>
        <v>128.79942536312848</v>
      </c>
      <c r="G118">
        <f t="shared" si="3"/>
        <v>211.1</v>
      </c>
      <c r="H118">
        <f t="shared" si="5"/>
        <v>179.7164113110523</v>
      </c>
    </row>
    <row r="119" spans="2:8" x14ac:dyDescent="0.15">
      <c r="B119">
        <f t="shared" ref="B119:B150" si="6">C34+10*10</f>
        <v>153.6</v>
      </c>
      <c r="C119">
        <f t="shared" si="4"/>
        <v>128.41519655682933</v>
      </c>
      <c r="G119">
        <f t="shared" ref="G119:G150" si="7">C34+10*16</f>
        <v>213.6</v>
      </c>
      <c r="H119">
        <f t="shared" si="5"/>
        <v>179.35015812142211</v>
      </c>
    </row>
    <row r="120" spans="2:8" x14ac:dyDescent="0.15">
      <c r="B120">
        <f t="shared" si="6"/>
        <v>169.1</v>
      </c>
      <c r="C120">
        <f t="shared" si="4"/>
        <v>126.85604505180541</v>
      </c>
      <c r="G120">
        <f t="shared" si="7"/>
        <v>229.1</v>
      </c>
      <c r="H120">
        <f t="shared" si="5"/>
        <v>177.86394937686714</v>
      </c>
    </row>
    <row r="121" spans="2:8" x14ac:dyDescent="0.15">
      <c r="B121">
        <f t="shared" si="6"/>
        <v>163.4</v>
      </c>
      <c r="C121">
        <f>-$A$87*F36*1000+$C$87</f>
        <v>126.03415132169212</v>
      </c>
      <c r="G121">
        <f t="shared" si="7"/>
        <v>223.4</v>
      </c>
      <c r="H121">
        <f t="shared" si="5"/>
        <v>177.08050681541414</v>
      </c>
    </row>
    <row r="122" spans="2:8" x14ac:dyDescent="0.15">
      <c r="B122">
        <f t="shared" si="6"/>
        <v>161.30000000000001</v>
      </c>
      <c r="C122">
        <f t="shared" si="4"/>
        <v>125.82208048765291</v>
      </c>
      <c r="G122">
        <f t="shared" si="7"/>
        <v>221.3</v>
      </c>
      <c r="H122">
        <f t="shared" si="5"/>
        <v>176.87835742390308</v>
      </c>
    </row>
    <row r="123" spans="2:8" x14ac:dyDescent="0.15">
      <c r="B123">
        <f t="shared" si="6"/>
        <v>157.19999999999999</v>
      </c>
      <c r="C123">
        <f t="shared" si="4"/>
        <v>124.90888490256988</v>
      </c>
      <c r="G123">
        <f t="shared" si="7"/>
        <v>217.2</v>
      </c>
      <c r="H123">
        <f t="shared" si="5"/>
        <v>176.00788443929176</v>
      </c>
    </row>
    <row r="124" spans="2:8" x14ac:dyDescent="0.15">
      <c r="B124">
        <f t="shared" si="6"/>
        <v>165</v>
      </c>
      <c r="C124">
        <f t="shared" si="4"/>
        <v>124.48128831068379</v>
      </c>
      <c r="G124">
        <f t="shared" si="7"/>
        <v>225</v>
      </c>
      <c r="H124">
        <f t="shared" si="5"/>
        <v>175.60029236632431</v>
      </c>
    </row>
    <row r="125" spans="2:8" x14ac:dyDescent="0.15">
      <c r="B125">
        <f t="shared" si="6"/>
        <v>152.6</v>
      </c>
      <c r="C125">
        <f t="shared" si="4"/>
        <v>123.29958938676123</v>
      </c>
      <c r="G125">
        <f t="shared" si="7"/>
        <v>212.6</v>
      </c>
      <c r="H125">
        <f t="shared" si="5"/>
        <v>174.47387760258528</v>
      </c>
    </row>
    <row r="126" spans="2:8" x14ac:dyDescent="0.15">
      <c r="B126">
        <f t="shared" si="6"/>
        <v>152.69999999999999</v>
      </c>
      <c r="C126">
        <f t="shared" si="4"/>
        <v>122.1847277837845</v>
      </c>
      <c r="G126">
        <f t="shared" si="7"/>
        <v>212.7</v>
      </c>
      <c r="H126">
        <f t="shared" si="5"/>
        <v>173.41117326758405</v>
      </c>
    </row>
    <row r="127" spans="2:8" x14ac:dyDescent="0.15">
      <c r="B127">
        <f t="shared" si="6"/>
        <v>183.6</v>
      </c>
      <c r="C127">
        <f t="shared" si="4"/>
        <v>120.96033365177223</v>
      </c>
      <c r="G127">
        <f t="shared" si="7"/>
        <v>243.6</v>
      </c>
      <c r="H127">
        <f t="shared" si="5"/>
        <v>172.24406073239106</v>
      </c>
    </row>
    <row r="128" spans="2:8" x14ac:dyDescent="0.15">
      <c r="B128">
        <f t="shared" si="6"/>
        <v>206.8</v>
      </c>
      <c r="C128">
        <f>-$A$87*F43*1000+$C$87</f>
        <v>119.92691038845619</v>
      </c>
      <c r="D128" s="8" t="s">
        <v>64</v>
      </c>
      <c r="G128">
        <f t="shared" si="7"/>
        <v>266.8</v>
      </c>
      <c r="H128">
        <f t="shared" si="5"/>
        <v>171.25898475624771</v>
      </c>
    </row>
    <row r="129" spans="2:9" x14ac:dyDescent="0.15">
      <c r="B129">
        <f t="shared" si="6"/>
        <v>213.7</v>
      </c>
      <c r="C129">
        <f>-$A$87*F44*1000+$C$87</f>
        <v>119.26017615283479</v>
      </c>
      <c r="D129">
        <f>60+$C$129</f>
        <v>179.26017615283479</v>
      </c>
      <c r="G129">
        <f t="shared" si="7"/>
        <v>273.7</v>
      </c>
      <c r="H129">
        <f t="shared" si="5"/>
        <v>170.62344276556766</v>
      </c>
    </row>
    <row r="130" spans="2:9" x14ac:dyDescent="0.15">
      <c r="B130">
        <f t="shared" si="6"/>
        <v>233.5</v>
      </c>
      <c r="D130">
        <f>$A$87*-1000*F3+$D$129</f>
        <v>178.80274352772813</v>
      </c>
      <c r="G130">
        <f t="shared" si="7"/>
        <v>293.5</v>
      </c>
      <c r="H130">
        <f t="shared" si="5"/>
        <v>169.24737596827978</v>
      </c>
    </row>
    <row r="131" spans="2:9" x14ac:dyDescent="0.15">
      <c r="B131">
        <f t="shared" si="6"/>
        <v>236.4</v>
      </c>
      <c r="D131">
        <f t="shared" ref="D131:D159" si="8">$A$87*-1000*F4+$D$129</f>
        <v>178.49379009410913</v>
      </c>
      <c r="G131">
        <f t="shared" si="7"/>
        <v>296.39999999999998</v>
      </c>
      <c r="H131">
        <f t="shared" si="5"/>
        <v>168.40764246061656</v>
      </c>
    </row>
    <row r="132" spans="2:9" x14ac:dyDescent="0.15">
      <c r="B132">
        <f t="shared" si="6"/>
        <v>231.7</v>
      </c>
      <c r="D132">
        <f t="shared" si="8"/>
        <v>178.10080796855328</v>
      </c>
      <c r="G132">
        <f t="shared" si="7"/>
        <v>291.7</v>
      </c>
      <c r="H132">
        <f t="shared" si="5"/>
        <v>167.13097790128336</v>
      </c>
    </row>
    <row r="133" spans="2:9" x14ac:dyDescent="0.15">
      <c r="B133">
        <f t="shared" si="6"/>
        <v>240.6</v>
      </c>
      <c r="D133">
        <f t="shared" si="8"/>
        <v>177.29517789142272</v>
      </c>
      <c r="G133">
        <f t="shared" si="7"/>
        <v>300.60000000000002</v>
      </c>
      <c r="H133">
        <f t="shared" si="5"/>
        <v>165.36893298167715</v>
      </c>
      <c r="I133" s="8" t="s">
        <v>62</v>
      </c>
    </row>
    <row r="134" spans="2:9" x14ac:dyDescent="0.15">
      <c r="B134">
        <f t="shared" si="6"/>
        <v>272.2</v>
      </c>
      <c r="D134">
        <f t="shared" si="8"/>
        <v>176.77103361161542</v>
      </c>
      <c r="G134">
        <f t="shared" si="7"/>
        <v>332.2</v>
      </c>
      <c r="H134">
        <f>-$F$87*F49*1000+$H$87</f>
        <v>163.32296563196698</v>
      </c>
      <c r="I134">
        <f>30+$H$134</f>
        <v>193.32296563196698</v>
      </c>
    </row>
    <row r="135" spans="2:9" x14ac:dyDescent="0.15">
      <c r="B135">
        <f t="shared" si="6"/>
        <v>273</v>
      </c>
      <c r="D135">
        <f t="shared" si="8"/>
        <v>175.78476207272135</v>
      </c>
      <c r="G135">
        <f t="shared" si="7"/>
        <v>333</v>
      </c>
      <c r="I135">
        <f t="shared" ref="I135:I164" si="9">$F$87*-1000*F3+$I$134</f>
        <v>192.88693336359046</v>
      </c>
    </row>
    <row r="136" spans="2:9" x14ac:dyDescent="0.15">
      <c r="B136">
        <f t="shared" si="6"/>
        <v>250</v>
      </c>
      <c r="D136">
        <f t="shared" si="8"/>
        <v>174.9884514866807</v>
      </c>
      <c r="G136">
        <f t="shared" si="7"/>
        <v>310</v>
      </c>
      <c r="I136">
        <f t="shared" si="9"/>
        <v>192.5924338917782</v>
      </c>
    </row>
    <row r="137" spans="2:9" x14ac:dyDescent="0.15">
      <c r="B137">
        <f t="shared" si="6"/>
        <v>256.60000000000002</v>
      </c>
      <c r="D137">
        <f t="shared" si="8"/>
        <v>174.09331896206288</v>
      </c>
      <c r="G137">
        <f t="shared" si="7"/>
        <v>316.60000000000002</v>
      </c>
      <c r="I137">
        <f t="shared" si="9"/>
        <v>192.21783689490334</v>
      </c>
    </row>
    <row r="138" spans="2:9" x14ac:dyDescent="0.15">
      <c r="B138">
        <f t="shared" si="6"/>
        <v>220.7</v>
      </c>
      <c r="D138">
        <f t="shared" si="8"/>
        <v>172.80757135907209</v>
      </c>
      <c r="G138">
        <f t="shared" si="7"/>
        <v>280.7</v>
      </c>
      <c r="I138">
        <f t="shared" si="9"/>
        <v>191.44989711377886</v>
      </c>
    </row>
    <row r="139" spans="2:9" x14ac:dyDescent="0.15">
      <c r="B139">
        <f t="shared" si="6"/>
        <v>187</v>
      </c>
      <c r="D139">
        <f t="shared" si="8"/>
        <v>171.82146854922343</v>
      </c>
      <c r="G139">
        <f t="shared" si="7"/>
        <v>247</v>
      </c>
      <c r="I139">
        <f t="shared" si="9"/>
        <v>190.95027420378713</v>
      </c>
    </row>
    <row r="140" spans="2:9" x14ac:dyDescent="0.15">
      <c r="B140">
        <f t="shared" si="6"/>
        <v>193.3</v>
      </c>
      <c r="D140">
        <f t="shared" si="8"/>
        <v>170.66355342478332</v>
      </c>
      <c r="G140">
        <f t="shared" si="7"/>
        <v>253.3</v>
      </c>
      <c r="I140">
        <f t="shared" si="9"/>
        <v>190.01014402343779</v>
      </c>
    </row>
    <row r="141" spans="2:9" x14ac:dyDescent="0.15">
      <c r="B141">
        <f t="shared" si="6"/>
        <v>191.9</v>
      </c>
      <c r="D141">
        <f t="shared" si="8"/>
        <v>170.26448668029877</v>
      </c>
      <c r="G141">
        <f t="shared" si="7"/>
        <v>251.9</v>
      </c>
      <c r="I141">
        <f t="shared" si="9"/>
        <v>189.2510877338201</v>
      </c>
    </row>
    <row r="142" spans="2:9" x14ac:dyDescent="0.15">
      <c r="B142">
        <f t="shared" si="6"/>
        <v>200.3</v>
      </c>
      <c r="D142">
        <f t="shared" si="8"/>
        <v>169.97386143838352</v>
      </c>
      <c r="G142">
        <f t="shared" si="7"/>
        <v>260.3</v>
      </c>
      <c r="I142">
        <f t="shared" si="9"/>
        <v>188.39783275421362</v>
      </c>
    </row>
    <row r="143" spans="2:9" x14ac:dyDescent="0.15">
      <c r="B143">
        <f t="shared" si="6"/>
        <v>225.8</v>
      </c>
      <c r="D143">
        <f t="shared" si="8"/>
        <v>169.42165157880612</v>
      </c>
      <c r="G143">
        <f t="shared" si="7"/>
        <v>285.8</v>
      </c>
      <c r="I143">
        <f t="shared" si="9"/>
        <v>187.1722370858657</v>
      </c>
    </row>
    <row r="144" spans="2:9" x14ac:dyDescent="0.15">
      <c r="B144">
        <f t="shared" si="6"/>
        <v>242</v>
      </c>
      <c r="D144">
        <f t="shared" si="8"/>
        <v>169.08722210598063</v>
      </c>
      <c r="G144">
        <f t="shared" si="7"/>
        <v>302</v>
      </c>
      <c r="I144">
        <f t="shared" si="9"/>
        <v>186.23226774080527</v>
      </c>
    </row>
    <row r="145" spans="2:9" x14ac:dyDescent="0.15">
      <c r="B145">
        <f t="shared" si="6"/>
        <v>206.1</v>
      </c>
      <c r="D145">
        <f t="shared" si="8"/>
        <v>168.24186169954132</v>
      </c>
      <c r="G145">
        <f t="shared" si="7"/>
        <v>266.10000000000002</v>
      </c>
      <c r="I145">
        <f t="shared" si="9"/>
        <v>185.12852408417524</v>
      </c>
    </row>
    <row r="146" spans="2:9" x14ac:dyDescent="0.15">
      <c r="B146">
        <f t="shared" si="6"/>
        <v>168.2</v>
      </c>
      <c r="D146">
        <f t="shared" si="8"/>
        <v>168.01852455377733</v>
      </c>
      <c r="G146">
        <f t="shared" si="7"/>
        <v>228.2</v>
      </c>
      <c r="I146">
        <f t="shared" si="9"/>
        <v>184.74812712890633</v>
      </c>
    </row>
    <row r="147" spans="2:9" x14ac:dyDescent="0.15">
      <c r="B147">
        <f t="shared" si="6"/>
        <v>194.3</v>
      </c>
      <c r="D147">
        <f t="shared" si="8"/>
        <v>167.17551988122008</v>
      </c>
      <c r="G147">
        <f t="shared" si="7"/>
        <v>254.3</v>
      </c>
      <c r="I147">
        <f t="shared" si="9"/>
        <v>184.47109838953682</v>
      </c>
    </row>
    <row r="148" spans="2:9" x14ac:dyDescent="0.15">
      <c r="B148">
        <f t="shared" si="6"/>
        <v>200.5</v>
      </c>
      <c r="D148">
        <f t="shared" si="8"/>
        <v>166.32329070378447</v>
      </c>
      <c r="G148">
        <f t="shared" si="7"/>
        <v>260.5</v>
      </c>
      <c r="I148">
        <f t="shared" si="9"/>
        <v>183.94472290935488</v>
      </c>
    </row>
    <row r="149" spans="2:9" x14ac:dyDescent="0.15">
      <c r="B149">
        <f t="shared" si="6"/>
        <v>168.9</v>
      </c>
      <c r="D149">
        <f t="shared" si="8"/>
        <v>166.06749436405642</v>
      </c>
      <c r="G149">
        <f t="shared" si="7"/>
        <v>228.9</v>
      </c>
      <c r="I149">
        <f t="shared" si="9"/>
        <v>183.62593925981946</v>
      </c>
    </row>
    <row r="150" spans="2:9" x14ac:dyDescent="0.15">
      <c r="B150">
        <f t="shared" si="6"/>
        <v>165.3</v>
      </c>
      <c r="D150">
        <f t="shared" si="8"/>
        <v>165.74809718252101</v>
      </c>
      <c r="G150">
        <f t="shared" si="7"/>
        <v>225.3</v>
      </c>
      <c r="I150">
        <f t="shared" si="9"/>
        <v>182.8201278782428</v>
      </c>
    </row>
    <row r="151" spans="2:9" x14ac:dyDescent="0.15">
      <c r="B151">
        <f t="shared" ref="B151:B165" si="10">C66+10*10</f>
        <v>147</v>
      </c>
      <c r="D151">
        <f>$A$87*-1000*F24+$D$129</f>
        <v>165.23718084600907</v>
      </c>
      <c r="G151">
        <f t="shared" ref="G151:G165" si="11">C66+10*16</f>
        <v>207</v>
      </c>
      <c r="I151">
        <f t="shared" si="9"/>
        <v>182.60723925391807</v>
      </c>
    </row>
    <row r="152" spans="2:9" x14ac:dyDescent="0.15">
      <c r="B152">
        <f t="shared" si="10"/>
        <v>165.4</v>
      </c>
      <c r="D152">
        <f t="shared" si="8"/>
        <v>164.64520772672563</v>
      </c>
      <c r="G152">
        <f t="shared" si="11"/>
        <v>225.4</v>
      </c>
      <c r="I152">
        <f t="shared" si="9"/>
        <v>181.80367339645119</v>
      </c>
    </row>
    <row r="153" spans="2:9" x14ac:dyDescent="0.15">
      <c r="B153">
        <f t="shared" si="10"/>
        <v>187.3</v>
      </c>
      <c r="D153">
        <f t="shared" si="8"/>
        <v>164.07461425110165</v>
      </c>
      <c r="G153">
        <f t="shared" si="11"/>
        <v>247.3</v>
      </c>
      <c r="I153">
        <f t="shared" si="9"/>
        <v>180.99131458988978</v>
      </c>
    </row>
    <row r="154" spans="2:9" x14ac:dyDescent="0.15">
      <c r="B154">
        <f t="shared" si="10"/>
        <v>181</v>
      </c>
      <c r="D154">
        <f t="shared" si="8"/>
        <v>163.65695840650588</v>
      </c>
      <c r="G154">
        <f t="shared" si="11"/>
        <v>241</v>
      </c>
      <c r="I154">
        <f t="shared" si="9"/>
        <v>180.74748533038291</v>
      </c>
    </row>
    <row r="155" spans="2:9" x14ac:dyDescent="0.15">
      <c r="B155">
        <f t="shared" si="10"/>
        <v>182.7</v>
      </c>
      <c r="D155">
        <f t="shared" si="8"/>
        <v>163.04602121991186</v>
      </c>
      <c r="G155">
        <f t="shared" si="11"/>
        <v>242.7</v>
      </c>
      <c r="I155">
        <f t="shared" si="9"/>
        <v>180.443030707048</v>
      </c>
    </row>
    <row r="156" spans="2:9" x14ac:dyDescent="0.15">
      <c r="B156">
        <f t="shared" si="10"/>
        <v>194.1</v>
      </c>
      <c r="D156">
        <f t="shared" si="8"/>
        <v>162.53827221039461</v>
      </c>
      <c r="G156">
        <f t="shared" si="11"/>
        <v>254.1</v>
      </c>
      <c r="I156">
        <f t="shared" si="9"/>
        <v>179.95601688920328</v>
      </c>
    </row>
    <row r="157" spans="2:9" x14ac:dyDescent="0.15">
      <c r="B157">
        <f t="shared" si="10"/>
        <v>204.6</v>
      </c>
      <c r="D157">
        <f t="shared" si="8"/>
        <v>161.97898213546438</v>
      </c>
      <c r="G157">
        <f t="shared" si="11"/>
        <v>264.60000000000002</v>
      </c>
      <c r="I157">
        <f t="shared" si="9"/>
        <v>179.39173841877519</v>
      </c>
    </row>
    <row r="158" spans="2:9" x14ac:dyDescent="0.15">
      <c r="B158">
        <f t="shared" si="10"/>
        <v>240.6</v>
      </c>
      <c r="D158">
        <f t="shared" si="8"/>
        <v>161.23187574058744</v>
      </c>
      <c r="E158" s="8" t="s">
        <v>64</v>
      </c>
      <c r="G158">
        <f t="shared" si="11"/>
        <v>300.60000000000002</v>
      </c>
      <c r="I158">
        <f t="shared" si="9"/>
        <v>178.84783937475939</v>
      </c>
    </row>
    <row r="159" spans="2:9" x14ac:dyDescent="0.15">
      <c r="B159">
        <f t="shared" si="10"/>
        <v>240.5</v>
      </c>
      <c r="D159">
        <f t="shared" si="8"/>
        <v>159.93697355582719</v>
      </c>
      <c r="E159">
        <f>60+D159</f>
        <v>219.93697355582719</v>
      </c>
      <c r="G159">
        <f t="shared" si="11"/>
        <v>300.5</v>
      </c>
      <c r="I159">
        <f t="shared" si="9"/>
        <v>178.44972298488153</v>
      </c>
    </row>
    <row r="160" spans="2:9" x14ac:dyDescent="0.15">
      <c r="B160">
        <f t="shared" si="10"/>
        <v>286.2</v>
      </c>
      <c r="E160">
        <f>$A$87*-1000*F3+$E$159</f>
        <v>219.47954093072053</v>
      </c>
      <c r="G160">
        <f t="shared" si="11"/>
        <v>346.2</v>
      </c>
      <c r="I160">
        <f t="shared" si="9"/>
        <v>177.86736765497028</v>
      </c>
    </row>
    <row r="161" spans="1:10" x14ac:dyDescent="0.15">
      <c r="B161">
        <f t="shared" si="10"/>
        <v>287.7</v>
      </c>
      <c r="E161">
        <f t="shared" ref="E161:E165" si="12">$A$87*-1000*F4+$E$159</f>
        <v>219.17058749710154</v>
      </c>
      <c r="G161">
        <f t="shared" si="11"/>
        <v>347.7</v>
      </c>
      <c r="I161">
        <f t="shared" si="9"/>
        <v>177.38337298507955</v>
      </c>
    </row>
    <row r="162" spans="1:10" x14ac:dyDescent="0.15">
      <c r="B162">
        <f t="shared" si="10"/>
        <v>276.8</v>
      </c>
      <c r="E162">
        <f t="shared" si="12"/>
        <v>218.77760537154569</v>
      </c>
      <c r="G162">
        <f t="shared" si="11"/>
        <v>336.8</v>
      </c>
      <c r="I162">
        <f t="shared" si="9"/>
        <v>176.85024852768993</v>
      </c>
    </row>
    <row r="163" spans="1:10" x14ac:dyDescent="0.15">
      <c r="B163">
        <f t="shared" si="10"/>
        <v>262.60000000000002</v>
      </c>
      <c r="E163">
        <f t="shared" si="12"/>
        <v>217.97197529441513</v>
      </c>
      <c r="G163">
        <f t="shared" si="11"/>
        <v>322.60000000000002</v>
      </c>
      <c r="I163">
        <f t="shared" si="9"/>
        <v>176.13809447877216</v>
      </c>
      <c r="J163" s="8" t="s">
        <v>65</v>
      </c>
    </row>
    <row r="164" spans="1:10" x14ac:dyDescent="0.15">
      <c r="B164">
        <f t="shared" si="10"/>
        <v>309</v>
      </c>
      <c r="E164">
        <f t="shared" si="12"/>
        <v>217.44783101460783</v>
      </c>
      <c r="G164">
        <f t="shared" si="11"/>
        <v>369</v>
      </c>
      <c r="I164">
        <f t="shared" si="9"/>
        <v>174.90377251318196</v>
      </c>
      <c r="J164">
        <f>20+$I$164</f>
        <v>194.90377251318196</v>
      </c>
    </row>
    <row r="165" spans="1:10" x14ac:dyDescent="0.15">
      <c r="B165">
        <f t="shared" si="10"/>
        <v>293.10000000000002</v>
      </c>
      <c r="E165">
        <f t="shared" si="12"/>
        <v>216.46155947571376</v>
      </c>
      <c r="G165">
        <f t="shared" si="11"/>
        <v>353.1</v>
      </c>
      <c r="J165">
        <f>$F$87*-1000*F3+$J$164</f>
        <v>194.46774024480544</v>
      </c>
    </row>
    <row r="169" spans="1:10" ht="25" x14ac:dyDescent="0.25">
      <c r="A169" s="6"/>
    </row>
    <row r="198" spans="1:8" ht="25" x14ac:dyDescent="0.25">
      <c r="A198" s="5" t="s">
        <v>66</v>
      </c>
      <c r="B198" s="3"/>
      <c r="C198" s="3"/>
      <c r="F198" s="16" t="s">
        <v>58</v>
      </c>
      <c r="G198" s="17"/>
      <c r="H198" s="17"/>
    </row>
    <row r="199" spans="1:8" x14ac:dyDescent="0.15">
      <c r="B199" t="s">
        <v>59</v>
      </c>
      <c r="G199" t="s">
        <v>59</v>
      </c>
    </row>
    <row r="200" spans="1:8" x14ac:dyDescent="0.15">
      <c r="A200" t="s">
        <v>27</v>
      </c>
      <c r="B200" s="8" t="s">
        <v>62</v>
      </c>
      <c r="F200" t="s">
        <v>27</v>
      </c>
      <c r="G200" s="8" t="s">
        <v>63</v>
      </c>
    </row>
    <row r="201" spans="1:8" x14ac:dyDescent="0.15">
      <c r="A201">
        <v>2.8579999999999999E-3</v>
      </c>
      <c r="B201">
        <f>50+$C$2</f>
        <v>148.4</v>
      </c>
      <c r="F201">
        <v>2.7200000000000002E-3</v>
      </c>
      <c r="G201">
        <f>100+$C$2</f>
        <v>198.4</v>
      </c>
    </row>
    <row r="202" spans="1:8" x14ac:dyDescent="0.15">
      <c r="B202">
        <f>-$A$201*F3*1000+$B$201</f>
        <v>147.6354722558159</v>
      </c>
      <c r="G202">
        <f>-$F$201*F3*1000+$G$201</f>
        <v>197.67238787117537</v>
      </c>
    </row>
    <row r="203" spans="1:8" x14ac:dyDescent="0.15">
      <c r="B203">
        <f t="shared" ref="B203:B242" si="13">-$A$201*F4*1000+$B$201</f>
        <v>147.11910447027026</v>
      </c>
      <c r="G203">
        <f t="shared" ref="G203:G247" si="14">-$F$201*F4*1000+$G$201</f>
        <v>197.18095316974635</v>
      </c>
    </row>
    <row r="204" spans="1:8" x14ac:dyDescent="0.15">
      <c r="B204">
        <f t="shared" si="13"/>
        <v>146.4622957481424</v>
      </c>
      <c r="G204">
        <f t="shared" si="14"/>
        <v>196.55585879459318</v>
      </c>
    </row>
    <row r="205" spans="1:8" x14ac:dyDescent="0.15">
      <c r="B205">
        <f t="shared" si="13"/>
        <v>145.11580992332415</v>
      </c>
      <c r="G205">
        <f t="shared" si="14"/>
        <v>195.27438873038548</v>
      </c>
    </row>
    <row r="206" spans="1:8" x14ac:dyDescent="0.15">
      <c r="B206">
        <f t="shared" si="13"/>
        <v>144.23978398666381</v>
      </c>
      <c r="G206">
        <f t="shared" si="14"/>
        <v>194.44066215665694</v>
      </c>
    </row>
    <row r="207" spans="1:8" x14ac:dyDescent="0.15">
      <c r="B207">
        <f t="shared" si="13"/>
        <v>142.59138395265251</v>
      </c>
      <c r="G207">
        <f t="shared" si="14"/>
        <v>192.87185596613534</v>
      </c>
    </row>
    <row r="208" spans="1:8" x14ac:dyDescent="0.15">
      <c r="B208">
        <f t="shared" si="13"/>
        <v>141.26047421294246</v>
      </c>
      <c r="G208">
        <f t="shared" si="14"/>
        <v>191.60520988775491</v>
      </c>
    </row>
    <row r="209" spans="2:7" x14ac:dyDescent="0.15">
      <c r="B209">
        <f t="shared" si="13"/>
        <v>139.76439891741163</v>
      </c>
      <c r="G209">
        <f t="shared" si="14"/>
        <v>190.18137335736867</v>
      </c>
    </row>
    <row r="210" spans="2:7" x14ac:dyDescent="0.15">
      <c r="B210">
        <f t="shared" si="13"/>
        <v>137.61547105229602</v>
      </c>
      <c r="G210">
        <f t="shared" si="14"/>
        <v>188.13620757951196</v>
      </c>
    </row>
    <row r="211" spans="2:7" x14ac:dyDescent="0.15">
      <c r="B211">
        <f t="shared" si="13"/>
        <v>135.96735302273609</v>
      </c>
      <c r="G211">
        <f t="shared" si="14"/>
        <v>186.56766977671174</v>
      </c>
    </row>
    <row r="212" spans="2:7" x14ac:dyDescent="0.15">
      <c r="B212">
        <f t="shared" si="13"/>
        <v>134.0320773352216</v>
      </c>
      <c r="G212">
        <f t="shared" si="14"/>
        <v>184.7258398711696</v>
      </c>
    </row>
    <row r="213" spans="2:7" x14ac:dyDescent="0.15">
      <c r="B213">
        <f t="shared" si="13"/>
        <v>133.36509911549246</v>
      </c>
      <c r="G213">
        <f t="shared" si="14"/>
        <v>184.09106703783746</v>
      </c>
    </row>
    <row r="214" spans="2:7" x14ac:dyDescent="0.15">
      <c r="B214">
        <f t="shared" si="13"/>
        <v>132.87936406204577</v>
      </c>
      <c r="G214">
        <f t="shared" si="14"/>
        <v>183.6287859512822</v>
      </c>
    </row>
    <row r="215" spans="2:7" x14ac:dyDescent="0.15">
      <c r="B215">
        <f t="shared" si="13"/>
        <v>131.95643085814393</v>
      </c>
      <c r="G215">
        <f t="shared" si="14"/>
        <v>182.75041705183747</v>
      </c>
    </row>
    <row r="216" spans="2:7" x14ac:dyDescent="0.15">
      <c r="B216">
        <f t="shared" si="13"/>
        <v>131.39748382110577</v>
      </c>
      <c r="G216">
        <f t="shared" si="14"/>
        <v>182.21845905997469</v>
      </c>
    </row>
    <row r="217" spans="2:7" x14ac:dyDescent="0.15">
      <c r="B217">
        <f t="shared" si="13"/>
        <v>129.9845949078873</v>
      </c>
      <c r="G217">
        <f t="shared" si="14"/>
        <v>180.87379221464434</v>
      </c>
    </row>
    <row r="218" spans="2:7" x14ac:dyDescent="0.15">
      <c r="B218">
        <f t="shared" si="13"/>
        <v>129.61132147947006</v>
      </c>
      <c r="G218">
        <f t="shared" si="14"/>
        <v>180.51854248570979</v>
      </c>
    </row>
    <row r="219" spans="2:7" x14ac:dyDescent="0.15">
      <c r="B219">
        <f t="shared" si="13"/>
        <v>128.20236981036558</v>
      </c>
      <c r="G219">
        <f t="shared" si="14"/>
        <v>179.17762277263625</v>
      </c>
    </row>
    <row r="220" spans="2:7" x14ac:dyDescent="0.15">
      <c r="B220">
        <f t="shared" si="13"/>
        <v>126.7780008108855</v>
      </c>
      <c r="G220">
        <f t="shared" si="14"/>
        <v>177.82203016291413</v>
      </c>
    </row>
    <row r="221" spans="2:7" x14ac:dyDescent="0.15">
      <c r="B221">
        <f t="shared" si="13"/>
        <v>126.3504768699833</v>
      </c>
      <c r="G221">
        <f t="shared" si="14"/>
        <v>177.41514943539346</v>
      </c>
    </row>
    <row r="222" spans="2:7" x14ac:dyDescent="0.15">
      <c r="B222">
        <f t="shared" si="13"/>
        <v>125.81665397827089</v>
      </c>
      <c r="G222">
        <f t="shared" si="14"/>
        <v>176.90710245657692</v>
      </c>
    </row>
    <row r="223" spans="2:7" x14ac:dyDescent="0.15">
      <c r="B223">
        <f t="shared" si="13"/>
        <v>124.96273649888427</v>
      </c>
      <c r="G223">
        <f t="shared" si="14"/>
        <v>176.09441682189126</v>
      </c>
    </row>
    <row r="224" spans="2:7" x14ac:dyDescent="0.15">
      <c r="B224">
        <f t="shared" si="13"/>
        <v>123.97334516852632</v>
      </c>
      <c r="G224">
        <f t="shared" si="14"/>
        <v>175.15279876080882</v>
      </c>
    </row>
    <row r="225" spans="2:7" x14ac:dyDescent="0.15">
      <c r="B225">
        <f t="shared" si="13"/>
        <v>123.01968659932558</v>
      </c>
      <c r="G225">
        <f t="shared" si="14"/>
        <v>174.24518808613212</v>
      </c>
    </row>
    <row r="226" spans="2:7" x14ac:dyDescent="0.15">
      <c r="B226">
        <f t="shared" si="13"/>
        <v>122.32163957952747</v>
      </c>
      <c r="G226">
        <f t="shared" si="14"/>
        <v>173.58084662572244</v>
      </c>
    </row>
    <row r="227" spans="2:7" x14ac:dyDescent="0.15">
      <c r="B227">
        <f t="shared" si="13"/>
        <v>121.30055274953583</v>
      </c>
      <c r="G227">
        <f t="shared" si="14"/>
        <v>172.60906349850856</v>
      </c>
    </row>
    <row r="228" spans="2:7" x14ac:dyDescent="0.15">
      <c r="B228">
        <f t="shared" si="13"/>
        <v>120.45192896637775</v>
      </c>
      <c r="G228">
        <f t="shared" si="14"/>
        <v>171.80141595120625</v>
      </c>
    </row>
    <row r="229" spans="2:7" x14ac:dyDescent="0.15">
      <c r="B229">
        <f t="shared" si="13"/>
        <v>119.51716227973996</v>
      </c>
      <c r="G229">
        <f t="shared" si="14"/>
        <v>170.911784954826</v>
      </c>
    </row>
    <row r="230" spans="2:7" x14ac:dyDescent="0.15">
      <c r="B230">
        <f t="shared" si="13"/>
        <v>118.26848972034919</v>
      </c>
      <c r="G230">
        <f t="shared" si="14"/>
        <v>169.72340519221476</v>
      </c>
    </row>
    <row r="231" spans="2:7" x14ac:dyDescent="0.15">
      <c r="B231">
        <f t="shared" si="13"/>
        <v>116.10426139049844</v>
      </c>
      <c r="G231">
        <f t="shared" si="14"/>
        <v>167.66367774043238</v>
      </c>
    </row>
    <row r="232" spans="2:7" x14ac:dyDescent="0.15">
      <c r="B232">
        <f t="shared" si="13"/>
        <v>115.64067701042177</v>
      </c>
      <c r="G232">
        <f t="shared" si="14"/>
        <v>167.22247777059036</v>
      </c>
    </row>
    <row r="233" spans="2:7" x14ac:dyDescent="0.15">
      <c r="B233">
        <f t="shared" si="13"/>
        <v>114.99849810492293</v>
      </c>
      <c r="G233">
        <f t="shared" si="14"/>
        <v>166.61130680384548</v>
      </c>
    </row>
    <row r="234" spans="2:7" x14ac:dyDescent="0.15">
      <c r="B234">
        <f t="shared" si="13"/>
        <v>112.3926179871695</v>
      </c>
      <c r="G234">
        <f t="shared" si="14"/>
        <v>164.131252947901</v>
      </c>
    </row>
    <row r="235" spans="2:7" x14ac:dyDescent="0.15">
      <c r="B235">
        <f t="shared" si="13"/>
        <v>111.01894998678134</v>
      </c>
      <c r="G235">
        <f t="shared" si="14"/>
        <v>162.82391321345179</v>
      </c>
    </row>
    <row r="236" spans="2:7" x14ac:dyDescent="0.15">
      <c r="B236">
        <f t="shared" si="13"/>
        <v>110.66450645246317</v>
      </c>
      <c r="G236">
        <f t="shared" si="14"/>
        <v>162.4865841674947</v>
      </c>
    </row>
    <row r="237" spans="2:7" x14ac:dyDescent="0.15">
      <c r="B237">
        <f t="shared" si="13"/>
        <v>109.13824155061096</v>
      </c>
      <c r="G237">
        <f t="shared" si="14"/>
        <v>161.0340157514562</v>
      </c>
    </row>
    <row r="238" spans="2:7" x14ac:dyDescent="0.15">
      <c r="B238">
        <f t="shared" si="13"/>
        <v>108.42358011224228</v>
      </c>
      <c r="G238">
        <f t="shared" si="14"/>
        <v>160.35386210822219</v>
      </c>
    </row>
    <row r="239" spans="2:7" x14ac:dyDescent="0.15">
      <c r="B239">
        <f t="shared" si="13"/>
        <v>106.4485534896863</v>
      </c>
      <c r="G239">
        <f t="shared" si="14"/>
        <v>158.47420066198276</v>
      </c>
    </row>
    <row r="240" spans="2:7" x14ac:dyDescent="0.15">
      <c r="B240">
        <f t="shared" si="13"/>
        <v>104.58523509126088</v>
      </c>
      <c r="G240">
        <f t="shared" si="14"/>
        <v>156.70085355081511</v>
      </c>
    </row>
    <row r="241" spans="2:8" x14ac:dyDescent="0.15">
      <c r="B241">
        <f t="shared" si="13"/>
        <v>102.53885004489183</v>
      </c>
      <c r="C241" s="8" t="s">
        <v>67</v>
      </c>
      <c r="G241">
        <f t="shared" si="14"/>
        <v>154.75327925895934</v>
      </c>
    </row>
    <row r="242" spans="2:8" x14ac:dyDescent="0.15">
      <c r="B242">
        <f t="shared" si="13"/>
        <v>100.81164321064783</v>
      </c>
      <c r="C242">
        <f>80+$B$242</f>
        <v>180.81164321064784</v>
      </c>
      <c r="G242">
        <f t="shared" si="14"/>
        <v>153.1094714950882</v>
      </c>
    </row>
    <row r="243" spans="2:8" x14ac:dyDescent="0.15">
      <c r="C243">
        <f>$A$201*-1000*F3+$C$242</f>
        <v>180.04711546646374</v>
      </c>
      <c r="G243">
        <f t="shared" si="14"/>
        <v>152.04893516708222</v>
      </c>
    </row>
    <row r="244" spans="2:8" x14ac:dyDescent="0.15">
      <c r="C244">
        <f t="shared" ref="C244:C272" si="15">$A$201*-1000*F4+$C$242</f>
        <v>179.5307476809181</v>
      </c>
      <c r="G244">
        <f t="shared" si="14"/>
        <v>149.7526764624055</v>
      </c>
    </row>
    <row r="245" spans="2:8" x14ac:dyDescent="0.15">
      <c r="C245">
        <f t="shared" si="15"/>
        <v>178.87393895879023</v>
      </c>
      <c r="G245">
        <f t="shared" si="14"/>
        <v>148.35140336986319</v>
      </c>
    </row>
    <row r="246" spans="2:8" x14ac:dyDescent="0.15">
      <c r="C246">
        <f t="shared" si="15"/>
        <v>177.52745313397199</v>
      </c>
      <c r="G246">
        <f t="shared" si="14"/>
        <v>146.2210183383379</v>
      </c>
      <c r="H246" s="8" t="s">
        <v>68</v>
      </c>
    </row>
    <row r="247" spans="2:8" x14ac:dyDescent="0.15">
      <c r="C247">
        <f t="shared" si="15"/>
        <v>176.65142719731165</v>
      </c>
      <c r="G247">
        <f t="shared" si="14"/>
        <v>143.2806734418171</v>
      </c>
      <c r="H247">
        <f>50+$G$247</f>
        <v>193.2806734418171</v>
      </c>
    </row>
    <row r="248" spans="2:8" x14ac:dyDescent="0.15">
      <c r="C248">
        <f t="shared" si="15"/>
        <v>175.00302716330035</v>
      </c>
      <c r="H248">
        <f>$F$201*-1000*F3+$H$247</f>
        <v>192.55306131299247</v>
      </c>
    </row>
    <row r="249" spans="2:8" x14ac:dyDescent="0.15">
      <c r="C249">
        <f t="shared" si="15"/>
        <v>173.67211742359029</v>
      </c>
      <c r="H249">
        <f t="shared" ref="H249:H273" si="16">$F$201*-1000*F4+$H$247</f>
        <v>192.06162661156344</v>
      </c>
    </row>
    <row r="250" spans="2:8" x14ac:dyDescent="0.15">
      <c r="C250">
        <f t="shared" si="15"/>
        <v>172.17604212805946</v>
      </c>
      <c r="H250">
        <f t="shared" si="16"/>
        <v>191.43653223641027</v>
      </c>
    </row>
    <row r="251" spans="2:8" x14ac:dyDescent="0.15">
      <c r="C251">
        <f t="shared" si="15"/>
        <v>170.02711426294388</v>
      </c>
      <c r="H251">
        <f t="shared" si="16"/>
        <v>190.15506217220258</v>
      </c>
    </row>
    <row r="252" spans="2:8" x14ac:dyDescent="0.15">
      <c r="C252">
        <f t="shared" si="15"/>
        <v>168.37899623338393</v>
      </c>
      <c r="H252">
        <f t="shared" si="16"/>
        <v>189.32133559847404</v>
      </c>
    </row>
    <row r="253" spans="2:8" x14ac:dyDescent="0.15">
      <c r="C253">
        <f t="shared" si="15"/>
        <v>166.44372054586944</v>
      </c>
      <c r="H253">
        <f t="shared" si="16"/>
        <v>187.75252940795244</v>
      </c>
    </row>
    <row r="254" spans="2:8" x14ac:dyDescent="0.15">
      <c r="C254">
        <f t="shared" si="15"/>
        <v>165.77674232614029</v>
      </c>
      <c r="H254">
        <f t="shared" si="16"/>
        <v>186.485883329572</v>
      </c>
    </row>
    <row r="255" spans="2:8" x14ac:dyDescent="0.15">
      <c r="C255">
        <f t="shared" si="15"/>
        <v>165.29100727269361</v>
      </c>
      <c r="H255">
        <f t="shared" si="16"/>
        <v>185.06204679918577</v>
      </c>
    </row>
    <row r="256" spans="2:8" x14ac:dyDescent="0.15">
      <c r="C256">
        <f t="shared" si="15"/>
        <v>164.36807406879177</v>
      </c>
      <c r="H256">
        <f t="shared" si="16"/>
        <v>183.01688102132906</v>
      </c>
    </row>
    <row r="257" spans="3:8" x14ac:dyDescent="0.15">
      <c r="C257">
        <f t="shared" si="15"/>
        <v>163.8091270317536</v>
      </c>
      <c r="H257">
        <f t="shared" si="16"/>
        <v>181.44834321852883</v>
      </c>
    </row>
    <row r="258" spans="3:8" x14ac:dyDescent="0.15">
      <c r="C258">
        <f t="shared" si="15"/>
        <v>162.39623811853517</v>
      </c>
      <c r="H258">
        <f t="shared" si="16"/>
        <v>179.60651331298669</v>
      </c>
    </row>
    <row r="259" spans="3:8" x14ac:dyDescent="0.15">
      <c r="C259">
        <f t="shared" si="15"/>
        <v>162.0229646901179</v>
      </c>
      <c r="H259">
        <f t="shared" si="16"/>
        <v>178.97174047965456</v>
      </c>
    </row>
    <row r="260" spans="3:8" x14ac:dyDescent="0.15">
      <c r="C260">
        <f t="shared" si="15"/>
        <v>160.61401302101342</v>
      </c>
      <c r="H260">
        <f t="shared" si="16"/>
        <v>178.50945939309929</v>
      </c>
    </row>
    <row r="261" spans="3:8" x14ac:dyDescent="0.15">
      <c r="C261">
        <f t="shared" si="15"/>
        <v>159.18964402153335</v>
      </c>
      <c r="H261">
        <f t="shared" si="16"/>
        <v>177.63109049365457</v>
      </c>
    </row>
    <row r="262" spans="3:8" x14ac:dyDescent="0.15">
      <c r="C262">
        <f t="shared" si="15"/>
        <v>158.76212008063112</v>
      </c>
      <c r="H262">
        <f t="shared" si="16"/>
        <v>177.09913250179179</v>
      </c>
    </row>
    <row r="263" spans="3:8" x14ac:dyDescent="0.15">
      <c r="C263">
        <f t="shared" si="15"/>
        <v>158.22829718891873</v>
      </c>
      <c r="H263">
        <f t="shared" si="16"/>
        <v>175.75446565646143</v>
      </c>
    </row>
    <row r="264" spans="3:8" x14ac:dyDescent="0.15">
      <c r="C264">
        <f t="shared" si="15"/>
        <v>157.37437970953212</v>
      </c>
      <c r="H264">
        <f t="shared" si="16"/>
        <v>175.39921592752688</v>
      </c>
    </row>
    <row r="265" spans="3:8" x14ac:dyDescent="0.15">
      <c r="C265">
        <f t="shared" si="15"/>
        <v>156.38498837917416</v>
      </c>
      <c r="H265">
        <f t="shared" si="16"/>
        <v>174.05829621445335</v>
      </c>
    </row>
    <row r="266" spans="3:8" x14ac:dyDescent="0.15">
      <c r="C266">
        <f t="shared" si="15"/>
        <v>155.43132980997342</v>
      </c>
      <c r="H266">
        <f t="shared" si="16"/>
        <v>172.7027036047312</v>
      </c>
    </row>
    <row r="267" spans="3:8" x14ac:dyDescent="0.15">
      <c r="C267">
        <f t="shared" si="15"/>
        <v>154.73328279017531</v>
      </c>
      <c r="H267">
        <f t="shared" si="16"/>
        <v>172.29582287721058</v>
      </c>
    </row>
    <row r="268" spans="3:8" x14ac:dyDescent="0.15">
      <c r="C268">
        <f t="shared" si="15"/>
        <v>153.71219596018366</v>
      </c>
      <c r="H268">
        <f t="shared" si="16"/>
        <v>171.78777589839399</v>
      </c>
    </row>
    <row r="269" spans="3:8" x14ac:dyDescent="0.15">
      <c r="C269">
        <f t="shared" si="15"/>
        <v>152.86357217702559</v>
      </c>
      <c r="H269">
        <f t="shared" si="16"/>
        <v>170.97509026370835</v>
      </c>
    </row>
    <row r="270" spans="3:8" x14ac:dyDescent="0.15">
      <c r="C270">
        <f t="shared" si="15"/>
        <v>151.92880549038782</v>
      </c>
      <c r="H270">
        <f t="shared" si="16"/>
        <v>170.03347220262592</v>
      </c>
    </row>
    <row r="271" spans="3:8" x14ac:dyDescent="0.15">
      <c r="C271">
        <f t="shared" si="15"/>
        <v>150.68013293099705</v>
      </c>
      <c r="H271">
        <f t="shared" si="16"/>
        <v>169.12586152794921</v>
      </c>
    </row>
    <row r="272" spans="3:8" x14ac:dyDescent="0.15">
      <c r="C272">
        <f t="shared" si="15"/>
        <v>148.51590460114627</v>
      </c>
      <c r="H272">
        <f t="shared" si="16"/>
        <v>168.46152006753954</v>
      </c>
    </row>
    <row r="273" spans="8:9" x14ac:dyDescent="0.15">
      <c r="H273">
        <f t="shared" si="16"/>
        <v>167.48973694032566</v>
      </c>
      <c r="I273" s="8" t="s">
        <v>91</v>
      </c>
    </row>
    <row r="274" spans="8:9" x14ac:dyDescent="0.15">
      <c r="I274">
        <f>45+$H$273</f>
        <v>212.48973694032566</v>
      </c>
    </row>
    <row r="275" spans="8:9" x14ac:dyDescent="0.15">
      <c r="I275">
        <f>$F$201*-1000*F3+$I$274</f>
        <v>211.76212481150102</v>
      </c>
    </row>
    <row r="276" spans="8:9" x14ac:dyDescent="0.15">
      <c r="I276">
        <f>$F$201*-1000*F4+$I$274</f>
        <v>211.270690110072</v>
      </c>
    </row>
    <row r="277" spans="8:9" x14ac:dyDescent="0.15">
      <c r="I277">
        <f t="shared" ref="I277:I278" si="17">$F$201*-1000*F5+$I$274</f>
        <v>210.64559573491883</v>
      </c>
    </row>
    <row r="278" spans="8:9" x14ac:dyDescent="0.15">
      <c r="I278">
        <f t="shared" si="17"/>
        <v>209.36412567071113</v>
      </c>
    </row>
  </sheetData>
  <pageMargins left="0.7" right="0.7" top="0.75" bottom="0.75" header="0.3" footer="0.3"/>
  <pageSetup paperSize="9" orientation="portrait" horizontalDpi="0" verticalDpi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E5004-269B-4828-B456-BC9D45C1300F}">
  <dimension ref="A1:Q39"/>
  <sheetViews>
    <sheetView tabSelected="1" topLeftCell="H11" zoomScale="86" zoomScaleNormal="86" workbookViewId="0">
      <selection activeCell="M21" sqref="M21:M31"/>
    </sheetView>
  </sheetViews>
  <sheetFormatPr baseColWidth="10" defaultColWidth="8.83203125" defaultRowHeight="13" x14ac:dyDescent="0.15"/>
  <cols>
    <col min="6" max="6" width="20.1640625" customWidth="1"/>
    <col min="7" max="7" width="20.5" customWidth="1"/>
    <col min="8" max="8" width="39.33203125" customWidth="1"/>
    <col min="9" max="9" width="26.5" customWidth="1"/>
    <col min="10" max="10" width="28" customWidth="1"/>
    <col min="11" max="11" width="23" customWidth="1"/>
    <col min="12" max="12" width="27.1640625" customWidth="1"/>
    <col min="13" max="13" width="27.33203125" customWidth="1"/>
    <col min="14" max="14" width="26.1640625" customWidth="1"/>
    <col min="15" max="15" width="33" customWidth="1"/>
    <col min="16" max="16" width="25.5" customWidth="1"/>
    <col min="17" max="17" width="29" customWidth="1"/>
    <col min="18" max="18" width="33.33203125" customWidth="1"/>
    <col min="19" max="19" width="24.33203125" customWidth="1"/>
  </cols>
  <sheetData>
    <row r="1" spans="1:17" ht="25" x14ac:dyDescent="0.25">
      <c r="A1" s="6" t="s">
        <v>69</v>
      </c>
      <c r="I1" t="s">
        <v>125</v>
      </c>
      <c r="J1" t="s">
        <v>126</v>
      </c>
      <c r="K1" t="s">
        <v>127</v>
      </c>
      <c r="L1" t="s">
        <v>128</v>
      </c>
      <c r="M1" t="s">
        <v>129</v>
      </c>
      <c r="N1" t="s">
        <v>137</v>
      </c>
      <c r="O1" t="s">
        <v>138</v>
      </c>
      <c r="P1" t="s">
        <v>2</v>
      </c>
      <c r="Q1" t="s">
        <v>4</v>
      </c>
    </row>
    <row r="2" spans="1:17" x14ac:dyDescent="0.15">
      <c r="A2" t="s">
        <v>70</v>
      </c>
      <c r="I2">
        <f>46.285*1000</f>
        <v>46285</v>
      </c>
      <c r="J2">
        <f>I2*102.25</f>
        <v>4732641.25</v>
      </c>
      <c r="K2">
        <f>J2/1000</f>
        <v>4732.6412499999997</v>
      </c>
      <c r="L2">
        <v>2.52</v>
      </c>
      <c r="M2">
        <v>970</v>
      </c>
      <c r="N2">
        <v>1000</v>
      </c>
      <c r="O2">
        <v>1.0020000000000001E-3</v>
      </c>
      <c r="P2">
        <v>0.3125</v>
      </c>
      <c r="Q2">
        <v>1.5E-3</v>
      </c>
    </row>
    <row r="3" spans="1:17" x14ac:dyDescent="0.15">
      <c r="A3" s="4">
        <f>(46.2846*1000)/12</f>
        <v>3857.0499999999997</v>
      </c>
    </row>
    <row r="5" spans="1:17" x14ac:dyDescent="0.15">
      <c r="I5" t="s">
        <v>132</v>
      </c>
      <c r="J5" t="s">
        <v>145</v>
      </c>
      <c r="K5" t="s">
        <v>133</v>
      </c>
      <c r="L5" t="s">
        <v>139</v>
      </c>
      <c r="M5" t="s">
        <v>134</v>
      </c>
      <c r="N5" t="s">
        <v>130</v>
      </c>
      <c r="O5" t="s">
        <v>126</v>
      </c>
      <c r="P5" t="s">
        <v>131</v>
      </c>
    </row>
    <row r="6" spans="1:17" x14ac:dyDescent="0.15">
      <c r="A6" t="s">
        <v>71</v>
      </c>
    </row>
    <row r="7" spans="1:17" x14ac:dyDescent="0.15">
      <c r="A7">
        <f xml:space="preserve"> 84.45*46.2846*1000</f>
        <v>3908734.4699999997</v>
      </c>
      <c r="I7">
        <v>225</v>
      </c>
      <c r="J7">
        <v>20.3</v>
      </c>
      <c r="K7">
        <f>I7-2*J7</f>
        <v>184.4</v>
      </c>
      <c r="L7">
        <f>(3.14*(K7*10^-3)^2)/4</f>
        <v>2.6692637600000003E-2</v>
      </c>
      <c r="M7">
        <f>(3.14/4)*(I7*10^-3)^2</f>
        <v>3.9740625000000002E-2</v>
      </c>
      <c r="N7">
        <f>(M7-L7)*$I$2</f>
        <v>603.926096809</v>
      </c>
      <c r="O7">
        <f t="shared" ref="O7:O17" si="0">N7*$M$2</f>
        <v>585808.31390473002</v>
      </c>
      <c r="P7">
        <f>(O7/1000)*$L$2</f>
        <v>1476.2369510399196</v>
      </c>
    </row>
    <row r="8" spans="1:17" x14ac:dyDescent="0.15">
      <c r="I8">
        <v>250</v>
      </c>
      <c r="J8">
        <v>22.7</v>
      </c>
      <c r="K8">
        <f t="shared" ref="K8:K17" si="1">I8-2*J8</f>
        <v>204.6</v>
      </c>
      <c r="L8">
        <f t="shared" ref="L8:L17" si="2">(3.14*(K8*10^-3)^2)/4</f>
        <v>3.2861010600000004E-2</v>
      </c>
      <c r="M8">
        <f t="shared" ref="M8:M17" si="3">(3.14/4)*(I8*10^-3)^2</f>
        <v>4.9062500000000002E-2</v>
      </c>
      <c r="N8">
        <f t="shared" ref="N8:N17" si="4">(M8-L8)*$I$2</f>
        <v>749.88593687899993</v>
      </c>
      <c r="O8">
        <f t="shared" si="0"/>
        <v>727389.35877262987</v>
      </c>
      <c r="P8">
        <f t="shared" ref="P8:P16" si="5">(O8/1000)*$L$2</f>
        <v>1833.0211841070272</v>
      </c>
    </row>
    <row r="9" spans="1:17" x14ac:dyDescent="0.15">
      <c r="A9" s="2"/>
      <c r="B9" s="2"/>
      <c r="I9">
        <v>280</v>
      </c>
      <c r="J9">
        <v>25.4</v>
      </c>
      <c r="K9">
        <f t="shared" si="1"/>
        <v>229.2</v>
      </c>
      <c r="L9">
        <f t="shared" si="2"/>
        <v>4.1238122399999994E-2</v>
      </c>
      <c r="M9">
        <f t="shared" si="3"/>
        <v>6.1544000000000008E-2</v>
      </c>
      <c r="N9">
        <f t="shared" si="4"/>
        <v>939.85754471600069</v>
      </c>
      <c r="O9">
        <f t="shared" si="0"/>
        <v>911661.81837452063</v>
      </c>
      <c r="P9">
        <f t="shared" si="5"/>
        <v>2297.3877823037919</v>
      </c>
    </row>
    <row r="10" spans="1:17" x14ac:dyDescent="0.15">
      <c r="A10" s="11" t="s">
        <v>72</v>
      </c>
      <c r="B10" s="11"/>
      <c r="C10" s="12"/>
      <c r="D10" s="12"/>
      <c r="E10" s="12"/>
      <c r="F10" s="12"/>
      <c r="G10" s="10"/>
      <c r="I10">
        <v>315</v>
      </c>
      <c r="J10">
        <v>28.6</v>
      </c>
      <c r="K10">
        <f t="shared" si="1"/>
        <v>257.8</v>
      </c>
      <c r="L10">
        <f t="shared" si="2"/>
        <v>5.2171759400000017E-2</v>
      </c>
      <c r="M10">
        <f t="shared" si="3"/>
        <v>7.7891625000000006E-2</v>
      </c>
      <c r="N10">
        <f t="shared" si="4"/>
        <v>1190.4439792959995</v>
      </c>
      <c r="O10">
        <f t="shared" si="0"/>
        <v>1154730.6599171194</v>
      </c>
      <c r="P10">
        <f t="shared" si="5"/>
        <v>2909.9212629911412</v>
      </c>
    </row>
    <row r="11" spans="1:17" x14ac:dyDescent="0.15">
      <c r="A11" s="2" t="s">
        <v>73</v>
      </c>
      <c r="B11" s="2"/>
      <c r="I11">
        <v>355</v>
      </c>
      <c r="J11">
        <v>32.200000000000003</v>
      </c>
      <c r="K11">
        <f t="shared" si="1"/>
        <v>290.60000000000002</v>
      </c>
      <c r="L11">
        <f t="shared" si="2"/>
        <v>6.6291962600000018E-2</v>
      </c>
      <c r="M11">
        <f t="shared" si="3"/>
        <v>9.8929625000000007E-2</v>
      </c>
      <c r="N11">
        <f t="shared" si="4"/>
        <v>1510.6342041839996</v>
      </c>
      <c r="O11">
        <f t="shared" si="0"/>
        <v>1465315.1780584797</v>
      </c>
      <c r="P11">
        <f t="shared" si="5"/>
        <v>3692.5942487073689</v>
      </c>
    </row>
    <row r="12" spans="1:17" x14ac:dyDescent="0.15">
      <c r="A12" s="2"/>
      <c r="B12" s="2"/>
      <c r="I12">
        <v>400</v>
      </c>
      <c r="J12">
        <v>36.299999999999997</v>
      </c>
      <c r="K12">
        <f t="shared" si="1"/>
        <v>327.39999999999998</v>
      </c>
      <c r="L12">
        <f t="shared" si="2"/>
        <v>8.4144746599999987E-2</v>
      </c>
      <c r="M12">
        <f t="shared" si="3"/>
        <v>0.12560000000000002</v>
      </c>
      <c r="N12">
        <f t="shared" si="4"/>
        <v>1918.7564036190015</v>
      </c>
      <c r="O12">
        <f t="shared" si="0"/>
        <v>1861193.7115104315</v>
      </c>
      <c r="P12">
        <f t="shared" si="5"/>
        <v>4690.2081530062878</v>
      </c>
    </row>
    <row r="13" spans="1:17" x14ac:dyDescent="0.15">
      <c r="I13">
        <v>450</v>
      </c>
      <c r="J13">
        <v>40.9</v>
      </c>
      <c r="K13">
        <f t="shared" si="1"/>
        <v>368.2</v>
      </c>
      <c r="L13">
        <f t="shared" si="2"/>
        <v>0.10642342339999999</v>
      </c>
      <c r="M13">
        <f t="shared" si="3"/>
        <v>0.15896250000000001</v>
      </c>
      <c r="N13">
        <f t="shared" si="4"/>
        <v>2431.7711604310007</v>
      </c>
      <c r="O13">
        <f t="shared" si="0"/>
        <v>2358818.0256180707</v>
      </c>
      <c r="P13">
        <f t="shared" si="5"/>
        <v>5944.2214245575387</v>
      </c>
    </row>
    <row r="14" spans="1:17" x14ac:dyDescent="0.15">
      <c r="I14">
        <v>500</v>
      </c>
      <c r="J14">
        <v>45.4</v>
      </c>
      <c r="K14">
        <f t="shared" si="1"/>
        <v>409.2</v>
      </c>
      <c r="L14">
        <f t="shared" si="2"/>
        <v>0.13144404240000002</v>
      </c>
      <c r="M14">
        <f t="shared" si="3"/>
        <v>0.19625000000000001</v>
      </c>
      <c r="N14">
        <f t="shared" si="4"/>
        <v>2999.5437475159997</v>
      </c>
      <c r="O14">
        <f t="shared" si="0"/>
        <v>2909557.4350905195</v>
      </c>
      <c r="P14">
        <f t="shared" si="5"/>
        <v>7332.084736428109</v>
      </c>
    </row>
    <row r="15" spans="1:17" x14ac:dyDescent="0.15">
      <c r="I15">
        <v>560</v>
      </c>
      <c r="J15">
        <v>50.8</v>
      </c>
      <c r="K15">
        <f t="shared" si="1"/>
        <v>458.4</v>
      </c>
      <c r="L15">
        <f t="shared" si="2"/>
        <v>0.16495248959999997</v>
      </c>
      <c r="M15">
        <f t="shared" si="3"/>
        <v>0.24617600000000003</v>
      </c>
      <c r="N15">
        <f t="shared" si="4"/>
        <v>3759.4301788640028</v>
      </c>
      <c r="O15">
        <f t="shared" si="0"/>
        <v>3646647.2734980825</v>
      </c>
      <c r="P15">
        <f t="shared" si="5"/>
        <v>9189.5511292151677</v>
      </c>
    </row>
    <row r="16" spans="1:17" x14ac:dyDescent="0.15">
      <c r="I16" s="3">
        <v>630</v>
      </c>
      <c r="J16" s="3">
        <v>57.2</v>
      </c>
      <c r="K16" s="3">
        <f>I16-2*J16</f>
        <v>515.6</v>
      </c>
      <c r="L16">
        <f t="shared" si="2"/>
        <v>0.20868703760000007</v>
      </c>
      <c r="M16">
        <f t="shared" si="3"/>
        <v>0.31156650000000002</v>
      </c>
      <c r="N16">
        <f t="shared" si="4"/>
        <v>4761.775917183998</v>
      </c>
      <c r="O16">
        <f t="shared" si="0"/>
        <v>4618922.6396684777</v>
      </c>
      <c r="P16">
        <f t="shared" si="5"/>
        <v>11639.685051964565</v>
      </c>
    </row>
    <row r="17" spans="1:16" x14ac:dyDescent="0.15">
      <c r="I17" s="3">
        <v>710</v>
      </c>
      <c r="J17" s="3">
        <v>64.5</v>
      </c>
      <c r="K17" s="3">
        <f t="shared" si="1"/>
        <v>581</v>
      </c>
      <c r="L17">
        <f t="shared" si="2"/>
        <v>0.26498538499999996</v>
      </c>
      <c r="M17">
        <f t="shared" si="3"/>
        <v>0.39571850000000003</v>
      </c>
      <c r="N17">
        <f t="shared" si="4"/>
        <v>6050.9822277750027</v>
      </c>
      <c r="O17">
        <f t="shared" si="0"/>
        <v>5869452.7609417522</v>
      </c>
      <c r="P17">
        <f>(O17/1000)*$L$2</f>
        <v>14791.020957573215</v>
      </c>
    </row>
    <row r="18" spans="1:16" ht="23" x14ac:dyDescent="0.25">
      <c r="A18" s="9" t="s">
        <v>74</v>
      </c>
    </row>
    <row r="19" spans="1:16" ht="20" x14ac:dyDescent="0.2">
      <c r="A19" t="s">
        <v>75</v>
      </c>
      <c r="I19" t="s">
        <v>135</v>
      </c>
      <c r="J19" t="s">
        <v>136</v>
      </c>
      <c r="K19" t="s">
        <v>140</v>
      </c>
      <c r="L19" t="s">
        <v>141</v>
      </c>
      <c r="M19" t="s">
        <v>146</v>
      </c>
      <c r="N19" t="s">
        <v>144</v>
      </c>
      <c r="O19" s="29" t="s">
        <v>147</v>
      </c>
      <c r="P19" t="s">
        <v>148</v>
      </c>
    </row>
    <row r="20" spans="1:16" ht="20" x14ac:dyDescent="0.2">
      <c r="A20" s="4" t="s">
        <v>76</v>
      </c>
      <c r="O20" s="29">
        <v>25</v>
      </c>
    </row>
    <row r="21" spans="1:16" x14ac:dyDescent="0.15">
      <c r="I21">
        <f t="shared" ref="I21:I31" si="6">0.3125/L7</f>
        <v>11.707348096615224</v>
      </c>
      <c r="J21">
        <f>(I21*$N$2*(10^-3))/$O$2</f>
        <v>11683.980136342538</v>
      </c>
      <c r="K21">
        <f t="shared" ref="K21:K31" si="7">0.0055*(1+(20000*$Q$2/K7+(10^6/J21)^(1/3)))</f>
        <v>3.0632922570645146E-2</v>
      </c>
      <c r="L21">
        <f>(K21*$I$2*I21*I21)/(2*9.81*K7*0.001)</f>
        <v>53713.795882233775</v>
      </c>
      <c r="M21">
        <f>(1125*L21*$N$2)/(367*0.81)</f>
        <v>203276551.17406055</v>
      </c>
      <c r="N21">
        <f>M21*0.091*0.001</f>
        <v>18498.16615683951</v>
      </c>
      <c r="O21">
        <f>$O$20*N21</f>
        <v>462454.15392098774</v>
      </c>
      <c r="P21">
        <f>O21+P7</f>
        <v>463930.39087202767</v>
      </c>
    </row>
    <row r="22" spans="1:16" x14ac:dyDescent="0.15">
      <c r="A22" t="s">
        <v>77</v>
      </c>
      <c r="I22">
        <f t="shared" si="6"/>
        <v>9.5097501353168958</v>
      </c>
      <c r="J22">
        <f t="shared" ref="J22:J31" si="8">(I22*$N$2*10^-3)/$O$2</f>
        <v>9490.7685981206541</v>
      </c>
      <c r="K22">
        <f t="shared" si="7"/>
        <v>3.2283844410933696E-2</v>
      </c>
      <c r="L22">
        <f t="shared" ref="L21:L31" si="9">(K22*$I$2*I22*I22)/(2*9.81*K8*0.001)</f>
        <v>33663.486508744703</v>
      </c>
      <c r="M22">
        <f t="shared" ref="M22:M31" si="10">(1125*L22*$N$2)/(367*0.81)</f>
        <v>127397390.66282432</v>
      </c>
      <c r="N22">
        <f t="shared" ref="N22:N31" si="11">M22*0.091*0.001</f>
        <v>11593.162550317013</v>
      </c>
      <c r="O22">
        <f t="shared" ref="O22:O31" si="12">$O$20*N22</f>
        <v>289829.06375792529</v>
      </c>
      <c r="P22">
        <f t="shared" ref="P22:P31" si="13">O22+P8</f>
        <v>291662.08494203235</v>
      </c>
    </row>
    <row r="23" spans="1:16" x14ac:dyDescent="0.15">
      <c r="A23" s="4"/>
      <c r="I23">
        <f t="shared" si="6"/>
        <v>7.5779395814587343</v>
      </c>
      <c r="J23">
        <f t="shared" si="8"/>
        <v>7562.8139535516302</v>
      </c>
      <c r="K23">
        <f t="shared" si="7"/>
        <v>3.4239900854190972E-2</v>
      </c>
      <c r="L23">
        <f t="shared" si="9"/>
        <v>20237.712728564489</v>
      </c>
      <c r="M23">
        <f t="shared" si="10"/>
        <v>76588376.962475359</v>
      </c>
      <c r="N23">
        <f t="shared" si="11"/>
        <v>6969.5423035852573</v>
      </c>
      <c r="O23">
        <f t="shared" si="12"/>
        <v>174238.55758963144</v>
      </c>
      <c r="P23">
        <f t="shared" si="13"/>
        <v>176535.94537193523</v>
      </c>
    </row>
    <row r="24" spans="1:16" x14ac:dyDescent="0.15">
      <c r="I24">
        <f t="shared" si="6"/>
        <v>5.9898305825584233</v>
      </c>
      <c r="J24">
        <f t="shared" si="8"/>
        <v>5977.8748328926376</v>
      </c>
      <c r="K24">
        <f t="shared" si="7"/>
        <v>3.6444993492039335E-2</v>
      </c>
      <c r="L24">
        <f t="shared" si="9"/>
        <v>11965.347247018508</v>
      </c>
      <c r="M24">
        <f t="shared" si="10"/>
        <v>45282119.463436671</v>
      </c>
      <c r="N24">
        <f t="shared" si="11"/>
        <v>4120.6728711727374</v>
      </c>
      <c r="O24">
        <f t="shared" si="12"/>
        <v>103016.82177931843</v>
      </c>
      <c r="P24">
        <f t="shared" si="13"/>
        <v>105926.74304230956</v>
      </c>
    </row>
    <row r="25" spans="1:16" x14ac:dyDescent="0.15">
      <c r="A25" t="s">
        <v>78</v>
      </c>
      <c r="I25">
        <f t="shared" si="6"/>
        <v>4.713995298126834</v>
      </c>
      <c r="J25">
        <f t="shared" si="8"/>
        <v>4704.5861258750838</v>
      </c>
      <c r="K25">
        <f t="shared" si="7"/>
        <v>3.8891592585395408E-2</v>
      </c>
      <c r="L25">
        <f t="shared" si="9"/>
        <v>7015.8399437328671</v>
      </c>
      <c r="M25">
        <f t="shared" si="10"/>
        <v>26551014.016548842</v>
      </c>
      <c r="N25">
        <f t="shared" si="11"/>
        <v>2416.1422755059448</v>
      </c>
      <c r="O25">
        <f t="shared" si="12"/>
        <v>60403.556887648621</v>
      </c>
      <c r="P25">
        <f t="shared" si="13"/>
        <v>64096.151136355991</v>
      </c>
    </row>
    <row r="26" spans="1:16" x14ac:dyDescent="0.15">
      <c r="A26" s="4"/>
      <c r="I26">
        <f t="shared" si="6"/>
        <v>3.7138385059917698</v>
      </c>
      <c r="J26">
        <f t="shared" si="8"/>
        <v>3706.4256546824049</v>
      </c>
      <c r="K26">
        <f t="shared" si="7"/>
        <v>4.1543438893430588E-2</v>
      </c>
      <c r="L26">
        <f t="shared" si="9"/>
        <v>4128.6784775446185</v>
      </c>
      <c r="M26">
        <f t="shared" si="10"/>
        <v>15624729.327674152</v>
      </c>
      <c r="N26">
        <f t="shared" si="11"/>
        <v>1421.8503688183478</v>
      </c>
      <c r="O26">
        <f t="shared" si="12"/>
        <v>35546.259220458691</v>
      </c>
      <c r="P26">
        <f t="shared" si="13"/>
        <v>40236.467373464977</v>
      </c>
    </row>
    <row r="27" spans="1:16" ht="31" thickBot="1" x14ac:dyDescent="0.2">
      <c r="B27" s="26" t="s">
        <v>118</v>
      </c>
      <c r="C27" s="26" t="s">
        <v>119</v>
      </c>
      <c r="D27" s="26" t="s">
        <v>120</v>
      </c>
      <c r="E27" s="27" t="s">
        <v>121</v>
      </c>
      <c r="F27" s="26" t="s">
        <v>122</v>
      </c>
      <c r="G27" s="26" t="s">
        <v>123</v>
      </c>
      <c r="H27" s="26" t="s">
        <v>124</v>
      </c>
      <c r="I27">
        <f t="shared" si="6"/>
        <v>2.9363836457830019</v>
      </c>
      <c r="J27">
        <f t="shared" si="8"/>
        <v>2930.5226005818381</v>
      </c>
      <c r="K27">
        <f t="shared" si="7"/>
        <v>4.4382014983686741E-2</v>
      </c>
      <c r="L27">
        <f t="shared" si="9"/>
        <v>2451.8285044638942</v>
      </c>
      <c r="M27">
        <f t="shared" si="10"/>
        <v>9278793.9163786471</v>
      </c>
      <c r="N27">
        <f t="shared" si="11"/>
        <v>844.37024639045694</v>
      </c>
      <c r="O27">
        <f t="shared" si="12"/>
        <v>21109.256159761422</v>
      </c>
      <c r="P27">
        <f t="shared" si="13"/>
        <v>27053.47758431896</v>
      </c>
    </row>
    <row r="28" spans="1:16" ht="66" x14ac:dyDescent="0.15">
      <c r="A28" s="30" t="s">
        <v>95</v>
      </c>
      <c r="B28" s="19" t="s">
        <v>96</v>
      </c>
      <c r="C28" s="20" t="s">
        <v>97</v>
      </c>
      <c r="D28" s="21" t="s">
        <v>98</v>
      </c>
      <c r="E28" s="22">
        <v>2.52</v>
      </c>
      <c r="F28" s="23" t="s">
        <v>99</v>
      </c>
      <c r="G28" s="24">
        <v>2.3616922773361266E-3</v>
      </c>
      <c r="H28" s="25" t="s">
        <v>100</v>
      </c>
      <c r="I28">
        <f t="shared" si="6"/>
        <v>2.377437533829224</v>
      </c>
      <c r="J28">
        <f t="shared" si="8"/>
        <v>2372.6921495301635</v>
      </c>
      <c r="K28">
        <f t="shared" si="7"/>
        <v>4.7139766461436312E-2</v>
      </c>
      <c r="L28">
        <f t="shared" si="9"/>
        <v>1536.0710221852669</v>
      </c>
      <c r="M28">
        <f t="shared" si="10"/>
        <v>5813166.1451152992</v>
      </c>
      <c r="N28">
        <f t="shared" si="11"/>
        <v>528.99811920549223</v>
      </c>
      <c r="O28">
        <f t="shared" si="12"/>
        <v>13224.952980137306</v>
      </c>
      <c r="P28">
        <f t="shared" si="13"/>
        <v>20557.037716565414</v>
      </c>
    </row>
    <row r="29" spans="1:16" ht="66" x14ac:dyDescent="0.15">
      <c r="A29" s="31"/>
      <c r="B29" s="19" t="s">
        <v>101</v>
      </c>
      <c r="C29" s="20" t="s">
        <v>97</v>
      </c>
      <c r="D29" s="21" t="s">
        <v>98</v>
      </c>
      <c r="E29" s="22">
        <v>2.52</v>
      </c>
      <c r="F29" s="23" t="s">
        <v>102</v>
      </c>
      <c r="G29" s="24">
        <v>4.2236199953391926E-3</v>
      </c>
      <c r="H29" s="25" t="s">
        <v>103</v>
      </c>
      <c r="I29">
        <f t="shared" si="6"/>
        <v>1.8944848953646836</v>
      </c>
      <c r="J29">
        <f t="shared" si="8"/>
        <v>1890.7034883879076</v>
      </c>
      <c r="K29">
        <f t="shared" si="7"/>
        <v>5.0338933955971901E-2</v>
      </c>
      <c r="L29">
        <f t="shared" si="9"/>
        <v>929.78591775263317</v>
      </c>
      <c r="M29">
        <f t="shared" si="10"/>
        <v>3518717.521013598</v>
      </c>
      <c r="N29">
        <f t="shared" si="11"/>
        <v>320.20329441223743</v>
      </c>
      <c r="O29">
        <f t="shared" si="12"/>
        <v>8005.0823603059353</v>
      </c>
      <c r="P29">
        <f t="shared" si="13"/>
        <v>17194.633489521104</v>
      </c>
    </row>
    <row r="30" spans="1:16" ht="66" x14ac:dyDescent="0.15">
      <c r="A30" s="31"/>
      <c r="B30" s="19" t="s">
        <v>104</v>
      </c>
      <c r="C30" s="20" t="s">
        <v>97</v>
      </c>
      <c r="D30" s="21" t="s">
        <v>98</v>
      </c>
      <c r="E30" s="22">
        <v>2.52</v>
      </c>
      <c r="F30" s="23" t="s">
        <v>102</v>
      </c>
      <c r="G30" s="24">
        <v>7.5086577694918914E-3</v>
      </c>
      <c r="H30" s="25" t="s">
        <v>105</v>
      </c>
      <c r="I30">
        <f t="shared" si="6"/>
        <v>1.4974576456396058</v>
      </c>
      <c r="J30">
        <f t="shared" si="8"/>
        <v>1494.4687082231594</v>
      </c>
      <c r="K30">
        <f t="shared" si="7"/>
        <v>5.3926144805132442E-2</v>
      </c>
      <c r="L30">
        <f t="shared" si="9"/>
        <v>553.26962161084748</v>
      </c>
      <c r="M30">
        <f t="shared" si="10"/>
        <v>2093814.7956813783</v>
      </c>
      <c r="N30">
        <f t="shared" si="11"/>
        <v>190.53714640700545</v>
      </c>
      <c r="O30">
        <f t="shared" si="12"/>
        <v>4763.4286601751364</v>
      </c>
      <c r="P30">
        <f t="shared" si="13"/>
        <v>16403.113712139701</v>
      </c>
    </row>
    <row r="31" spans="1:16" ht="66" x14ac:dyDescent="0.15">
      <c r="A31" s="31"/>
      <c r="B31" s="19" t="s">
        <v>106</v>
      </c>
      <c r="C31" s="20" t="s">
        <v>97</v>
      </c>
      <c r="D31" s="21" t="s">
        <v>98</v>
      </c>
      <c r="E31" s="22">
        <v>2.52</v>
      </c>
      <c r="F31" s="23" t="s">
        <v>102</v>
      </c>
      <c r="G31" s="24">
        <v>1.1165471618270428E-2</v>
      </c>
      <c r="H31" s="25" t="s">
        <v>107</v>
      </c>
      <c r="I31">
        <f t="shared" si="6"/>
        <v>1.1793103230957438</v>
      </c>
      <c r="J31">
        <f t="shared" si="8"/>
        <v>1176.9564102751933</v>
      </c>
      <c r="K31">
        <f t="shared" si="7"/>
        <v>5.7876576625200828E-2</v>
      </c>
      <c r="L31">
        <f t="shared" si="9"/>
        <v>326.83169616140128</v>
      </c>
      <c r="M31">
        <f t="shared" si="10"/>
        <v>1236874.4178073013</v>
      </c>
      <c r="N31">
        <f t="shared" si="11"/>
        <v>112.55557202046442</v>
      </c>
      <c r="O31">
        <f t="shared" si="12"/>
        <v>2813.8893005116106</v>
      </c>
      <c r="P31">
        <f t="shared" si="13"/>
        <v>17604.910258084827</v>
      </c>
    </row>
    <row r="32" spans="1:16" ht="66" x14ac:dyDescent="0.15">
      <c r="A32" s="31"/>
      <c r="B32" s="19" t="s">
        <v>108</v>
      </c>
      <c r="C32" s="20" t="s">
        <v>97</v>
      </c>
      <c r="D32" s="21" t="s">
        <v>98</v>
      </c>
      <c r="E32" s="22">
        <v>2.52</v>
      </c>
      <c r="F32" s="23" t="s">
        <v>102</v>
      </c>
      <c r="G32" s="24">
        <v>2.0481204898033695E-2</v>
      </c>
      <c r="H32" s="25" t="s">
        <v>109</v>
      </c>
    </row>
    <row r="33" spans="1:10" ht="66" x14ac:dyDescent="0.15">
      <c r="A33" s="31"/>
      <c r="B33" s="19" t="s">
        <v>110</v>
      </c>
      <c r="C33" s="20" t="s">
        <v>97</v>
      </c>
      <c r="D33" s="21" t="s">
        <v>98</v>
      </c>
      <c r="E33" s="22">
        <v>2.52</v>
      </c>
      <c r="F33" s="23" t="s">
        <v>102</v>
      </c>
      <c r="G33" s="24">
        <v>4.4661886473081711E-2</v>
      </c>
      <c r="H33" s="25" t="s">
        <v>111</v>
      </c>
    </row>
    <row r="34" spans="1:10" ht="66" x14ac:dyDescent="0.15">
      <c r="A34" s="31"/>
      <c r="B34" s="19" t="s">
        <v>112</v>
      </c>
      <c r="C34" s="20" t="s">
        <v>97</v>
      </c>
      <c r="D34" s="21" t="s">
        <v>98</v>
      </c>
      <c r="E34" s="22">
        <v>2.52</v>
      </c>
      <c r="F34" s="23" t="s">
        <v>102</v>
      </c>
      <c r="G34" s="24">
        <v>7.4355214925163171E-2</v>
      </c>
      <c r="H34" s="25" t="s">
        <v>113</v>
      </c>
    </row>
    <row r="35" spans="1:10" ht="66" x14ac:dyDescent="0.15">
      <c r="A35" s="31"/>
      <c r="B35" s="19" t="s">
        <v>114</v>
      </c>
      <c r="C35" s="20" t="s">
        <v>97</v>
      </c>
      <c r="D35" s="21" t="s">
        <v>98</v>
      </c>
      <c r="E35" s="22">
        <v>2.52</v>
      </c>
      <c r="F35" s="23" t="s">
        <v>102</v>
      </c>
      <c r="G35" s="24">
        <v>0.11618002332056755</v>
      </c>
      <c r="H35" s="25" t="s">
        <v>115</v>
      </c>
    </row>
    <row r="36" spans="1:10" ht="66" x14ac:dyDescent="0.15">
      <c r="A36" s="32"/>
      <c r="B36" s="19" t="s">
        <v>116</v>
      </c>
      <c r="C36" s="20" t="s">
        <v>97</v>
      </c>
      <c r="D36" s="21" t="s">
        <v>98</v>
      </c>
      <c r="E36" s="22">
        <v>2.52</v>
      </c>
      <c r="F36" s="23" t="s">
        <v>102</v>
      </c>
      <c r="G36" s="24">
        <v>0.16729923358161752</v>
      </c>
      <c r="H36" s="25" t="s">
        <v>117</v>
      </c>
    </row>
    <row r="37" spans="1:10" ht="20" x14ac:dyDescent="0.2">
      <c r="I37" s="7" t="s">
        <v>142</v>
      </c>
      <c r="J37" s="7"/>
    </row>
    <row r="38" spans="1:10" ht="20" x14ac:dyDescent="0.2">
      <c r="I38" s="28" t="s">
        <v>143</v>
      </c>
      <c r="J38" s="7"/>
    </row>
    <row r="39" spans="1:10" ht="20" x14ac:dyDescent="0.2">
      <c r="I39" s="7"/>
      <c r="J39" s="7"/>
    </row>
  </sheetData>
  <mergeCells count="1">
    <mergeCell ref="A28:A36"/>
  </mergeCells>
  <hyperlinks>
    <hyperlink ref="A11" r:id="rId1" xr:uid="{8248E522-24C0-4634-A901-5786507E76F0}"/>
    <hyperlink ref="I38" r:id="rId2" xr:uid="{1C744797-0AB9-5448-ABF1-02D5D8D82CE7}"/>
  </hyperlinks>
  <pageMargins left="0.7" right="0.7" top="0.75" bottom="0.75" header="0.3" footer="0.3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7AF293-C5DB-614C-B36F-879EC05C8E55}">
  <dimension ref="M2:N25"/>
  <sheetViews>
    <sheetView workbookViewId="0">
      <selection activeCell="M19" sqref="M19"/>
    </sheetView>
  </sheetViews>
  <sheetFormatPr baseColWidth="10" defaultColWidth="11.5" defaultRowHeight="13" x14ac:dyDescent="0.15"/>
  <cols>
    <col min="13" max="13" width="20.6640625" customWidth="1"/>
    <col min="14" max="14" width="30.5" customWidth="1"/>
  </cols>
  <sheetData>
    <row r="2" spans="13:14" x14ac:dyDescent="0.15">
      <c r="M2" t="s">
        <v>79</v>
      </c>
    </row>
    <row r="3" spans="13:14" x14ac:dyDescent="0.15">
      <c r="M3" t="s">
        <v>80</v>
      </c>
      <c r="N3" t="s">
        <v>81</v>
      </c>
    </row>
    <row r="4" spans="13:14" x14ac:dyDescent="0.15">
      <c r="M4">
        <v>160</v>
      </c>
      <c r="N4">
        <v>0.5</v>
      </c>
    </row>
    <row r="5" spans="13:14" x14ac:dyDescent="0.15">
      <c r="M5" s="2" t="s">
        <v>82</v>
      </c>
    </row>
    <row r="8" spans="13:14" x14ac:dyDescent="0.15">
      <c r="M8" t="s">
        <v>83</v>
      </c>
    </row>
    <row r="11" spans="13:14" x14ac:dyDescent="0.15">
      <c r="M11" t="s">
        <v>84</v>
      </c>
    </row>
    <row r="12" spans="13:14" x14ac:dyDescent="0.15">
      <c r="M12" s="2" t="s">
        <v>85</v>
      </c>
    </row>
    <row r="15" spans="13:14" x14ac:dyDescent="0.15">
      <c r="M15" t="s">
        <v>86</v>
      </c>
    </row>
    <row r="18" spans="13:13" x14ac:dyDescent="0.15">
      <c r="M18" t="s">
        <v>75</v>
      </c>
    </row>
    <row r="19" spans="13:13" x14ac:dyDescent="0.15">
      <c r="M19" s="2" t="s">
        <v>87</v>
      </c>
    </row>
    <row r="21" spans="13:13" x14ac:dyDescent="0.15">
      <c r="M21" t="s">
        <v>88</v>
      </c>
    </row>
    <row r="22" spans="13:13" x14ac:dyDescent="0.15">
      <c r="M22" s="2" t="s">
        <v>87</v>
      </c>
    </row>
    <row r="24" spans="13:13" x14ac:dyDescent="0.15">
      <c r="M24" t="s">
        <v>89</v>
      </c>
    </row>
    <row r="25" spans="13:13" x14ac:dyDescent="0.15">
      <c r="M25" s="2" t="s">
        <v>90</v>
      </c>
    </row>
  </sheetData>
  <hyperlinks>
    <hyperlink ref="M5" r:id="rId1" xr:uid="{665589E3-047E-144D-A396-3558914C5899}"/>
    <hyperlink ref="M12" r:id="rId2" xr:uid="{6B96D92C-E9FB-4296-9DC8-E9086D859C83}"/>
    <hyperlink ref="M19" r:id="rId3" xr:uid="{AFDBC68E-7916-410F-B2A8-E861C4446ADC}"/>
    <hyperlink ref="M22" r:id="rId4" xr:uid="{8DF2EFCC-1431-4BAC-B4CB-9806D618700A}"/>
    <hyperlink ref="M25" r:id="rId5" xr:uid="{82A924B7-46AC-4E37-86B1-A86594FF9A29}"/>
  </hyperlinks>
  <pageMargins left="0.7" right="0.7" top="0.75" bottom="0.75" header="0.3" footer="0.3"/>
  <drawing r:id="rId6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D5C80FE8CBF1C418C1EA8E354CDF6AD" ma:contentTypeVersion="10" ma:contentTypeDescription="Create a new document." ma:contentTypeScope="" ma:versionID="a4dd38c451c759e06f7ece0b1985b500">
  <xsd:schema xmlns:xsd="http://www.w3.org/2001/XMLSchema" xmlns:xs="http://www.w3.org/2001/XMLSchema" xmlns:p="http://schemas.microsoft.com/office/2006/metadata/properties" xmlns:ns2="eac188de-e11d-479e-9328-cd32a563e33c" xmlns:ns3="bc3dee9d-47a0-41a4-b904-722df4dca603" targetNamespace="http://schemas.microsoft.com/office/2006/metadata/properties" ma:root="true" ma:fieldsID="00fbc493352ecebec4b005fd6308a067" ns2:_="" ns3:_="">
    <xsd:import namespace="eac188de-e11d-479e-9328-cd32a563e33c"/>
    <xsd:import namespace="bc3dee9d-47a0-41a4-b904-722df4dca60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c188de-e11d-479e-9328-cd32a563e3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d54eff52-6b6d-4e5f-a3b0-187f185b1db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3dee9d-47a0-41a4-b904-722df4dca603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e1a37eef-8aa0-4967-818e-7be179b9ff6c}" ma:internalName="TaxCatchAll" ma:showField="CatchAllData" ma:web="bc3dee9d-47a0-41a4-b904-722df4dca60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ac188de-e11d-479e-9328-cd32a563e33c">
      <Terms xmlns="http://schemas.microsoft.com/office/infopath/2007/PartnerControls"/>
    </lcf76f155ced4ddcb4097134ff3c332f>
    <TaxCatchAll xmlns="bc3dee9d-47a0-41a4-b904-722df4dca60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9FEFDB5-1C0D-476F-9718-A517BF178FC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c188de-e11d-479e-9328-cd32a563e33c"/>
    <ds:schemaRef ds:uri="bc3dee9d-47a0-41a4-b904-722df4dca60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4795814-BA66-49F0-85F1-B1611170738C}">
  <ds:schemaRefs>
    <ds:schemaRef ds:uri="http://schemas.microsoft.com/office/2006/metadata/properties"/>
    <ds:schemaRef ds:uri="http://schemas.microsoft.com/office/infopath/2007/PartnerControls"/>
    <ds:schemaRef ds:uri="eac188de-e11d-479e-9328-cd32a563e33c"/>
    <ds:schemaRef ds:uri="bc3dee9d-47a0-41a4-b904-722df4dca603"/>
  </ds:schemaRefs>
</ds:datastoreItem>
</file>

<file path=customXml/itemProps3.xml><?xml version="1.0" encoding="utf-8"?>
<ds:datastoreItem xmlns:ds="http://schemas.openxmlformats.org/officeDocument/2006/customXml" ds:itemID="{1176A333-D84D-4B6C-81C1-E019C4E95DC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Pipe Sizing Calc</vt:lpstr>
      <vt:lpstr>Pump Sizing Calc</vt:lpstr>
      <vt:lpstr>MAIN ROUTE</vt:lpstr>
      <vt:lpstr>Carbon Footprint</vt:lpstr>
      <vt:lpstr>Reference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TENG Pingfan</cp:lastModifiedBy>
  <cp:revision>2</cp:revision>
  <dcterms:created xsi:type="dcterms:W3CDTF">2023-10-11T13:45:50Z</dcterms:created>
  <dcterms:modified xsi:type="dcterms:W3CDTF">2023-11-28T16:16:06Z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0x0101004D5C80FE8CBF1C418C1EA8E354CDF6AD</vt:lpwstr>
  </property>
  <property fmtid="{D5CDD505-2E9C-101B-9397-08002B2CF9AE}" pid="3" name="MediaServiceImageTags">
    <vt:lpwstr/>
  </property>
</Properties>
</file>